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20eefc676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Quote" sheetId="1" r:id="R5dcfd7aebaf14f2f"/>
    <x:sheet xmlns:r="http://schemas.openxmlformats.org/officeDocument/2006/relationships" name="SH Pricing" sheetId="2" r:id="R69aee6f5a12d4d09"/>
    <x:sheet xmlns:r="http://schemas.openxmlformats.org/officeDocument/2006/relationships" name="Base Proposals" sheetId="3" r:id="R57ee012c88ef4ca3"/>
    <x:sheet xmlns:r="http://schemas.openxmlformats.org/officeDocument/2006/relationships" name="SHP Export" sheetId="4" r:id="R20f9ffaeac70472b"/>
    <x:sheet xmlns:r="http://schemas.openxmlformats.org/officeDocument/2006/relationships" name="Brand Guide" sheetId="5" r:id="R2de6f3ef2d3a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&quot;$&quot;#,##0.00;[Red](&quot;$&quot;#,##0.00);&quot;$&quot;0.00"/>
    <x:numFmt numFmtId="202" formatCode="0.0%"/>
  </x:numFmts>
  <x:fonts count="14">
    <x:font>
      <x:sz val="11"/>
      <x:name val="Carlito"/>
    </x:font>
    <x:font>
      <x:sz val="10"/>
      <x:color rgb="FF233747"/>
      <x:name val="Arial"/>
    </x:font>
    <x:font>
      <x:b/>
      <x:sz val="16"/>
      <x:color rgb="FF233747"/>
      <x:name val="Arial"/>
    </x:font>
    <x:font>
      <x:b/>
      <x:sz val="10"/>
      <x:color rgb="FFFFFFFF"/>
      <x:name val="Arial"/>
    </x:font>
    <x:font>
      <x:b/>
      <x:sz val="10"/>
      <x:color rgb="FF233747"/>
      <x:name val="Arial"/>
    </x:font>
    <x:font>
      <x:sz val="10"/>
      <x:color rgb="FF1756A9"/>
      <x:name val="Arial"/>
    </x:font>
    <x:font>
      <x:sz val="10"/>
      <x:color rgb="FF233747"/>
      <x:name val="Work Sans"/>
    </x:font>
    <x:font>
      <x:b/>
      <x:sz val="16"/>
      <x:color rgb="FF233747"/>
      <x:name val="Work Sans"/>
    </x:font>
    <x:font>
      <x:b/>
      <x:sz val="10"/>
      <x:color rgb="FFFFFFFF"/>
      <x:name val="Work Sans"/>
    </x:font>
    <x:font>
      <x:b/>
      <x:sz val="10"/>
      <x:color rgb="FF233747"/>
      <x:name val="Work Sans"/>
    </x:font>
    <x:font>
      <x:sz val="10"/>
      <x:color rgb="FF20353C"/>
      <x:name val="Work Sans"/>
    </x:font>
    <x:font>
      <x:b/>
      <x:sz val="16"/>
      <x:color rgb="FF20353C"/>
      <x:name val="Work Sans"/>
    </x:font>
    <x:font>
      <x:b/>
      <x:sz val="10"/>
      <x:color rgb="FF20353C"/>
      <x:name val="Work Sans"/>
    </x:font>
    <x:font>
      <x:sz val="10"/>
      <x:color rgb="FF1756A9"/>
      <x:name val="Work Sans"/>
    </x:font>
  </x:fonts>
  <x:fills count="9">
    <x:fill>
      <x:patternFill patternType="none"/>
    </x:fill>
    <x:fill>
      <x:patternFill patternType="gray125"/>
    </x:fill>
    <x:fill>
      <x:patternFill patternType="solid">
        <x:fgColor rgb="FF243F57"/>
      </x:patternFill>
    </x:fill>
    <x:fill>
      <x:patternFill patternType="solid">
        <x:fgColor rgb="FFE4EDF3"/>
      </x:patternFill>
    </x:fill>
    <x:fill>
      <x:patternFill patternType="solid">
        <x:fgColor rgb="FFFFF2CC"/>
      </x:patternFill>
    </x:fill>
    <x:fill>
      <x:patternFill patternType="solid">
        <x:fgColor rgb="FF243F57"/>
      </x:patternFill>
    </x:fill>
    <x:fill>
      <x:patternFill patternType="solid">
        <x:fgColor rgb="FF20353C"/>
      </x:patternFill>
    </x:fill>
    <x:fill>
      <x:patternFill patternType="solid">
        <x:fgColor rgb="FFF3EBE1"/>
      </x:patternFill>
    </x:fill>
    <x:fill>
      <x:patternFill patternType="solid">
        <x:fgColor rgb="FFFAA21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FAA21F"/>
      </x:bottom>
      <x:diagonal/>
    </x:border>
    <x:border>
      <x:left/>
      <x:right/>
      <x:top/>
      <x:bottom style="thin">
        <x:color rgb="FFFAA21F"/>
      </x:bottom>
      <x:diagonal/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201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201" fontId="12" fillId="3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201" fontId="12" fillId="7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 wrapText="1"/>
    </x:xf>
    <x:xf numFmtId="200" fontId="13" fillId="4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13" fillId="4" borderId="0" xfId="0" applyNumberFormat="1" applyFont="1" applyFill="1" applyBorder="1" applyAlignment="1">
      <x:alignment vertical="center"/>
    </x:xf>
    <x:xf numFmtId="201" fontId="13" fillId="4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 wrapText="1"/>
    </x:xf>
    <x:xf numFmtId="200" fontId="10" fillId="4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2" fontId="10" fillId="4" borderId="0" xfId="0" applyNumberFormat="1" applyFont="1" applyFill="1" applyBorder="1" applyAlignment="1">
      <x:alignment vertical="center"/>
    </x:xf>
    <x:xf numFmtId="201" fontId="10" fillId="4" borderId="0" xfId="0" applyNumberFormat="1" applyFont="1" applyFill="1" applyBorder="1" applyAlignment="1">
      <x:alignment vertical="center"/>
    </x:xf>
    <x:xf numFmtId="201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2" xfId="0" applyNumberFormat="1" applyFont="1" applyFill="1" applyBorder="1" applyAlignment="1">
      <x:alignment vertical="center" wrapText="1"/>
    </x:xf>
    <x:xf numFmtId="200" fontId="10" fillId="7" borderId="0" xfId="0" applyNumberFormat="1" applyFont="1" applyFill="1" applyBorder="1" applyAlignment="1">
      <x:alignment vertical="center"/>
    </x:xf>
    <x:xf numFmtId="200" fontId="10" fillId="7" borderId="2" xfId="0" applyNumberFormat="1" applyFont="1" applyFill="1" applyBorder="1" applyAlignment="1">
      <x:alignment vertical="center"/>
    </x:xf>
    <x:xf numFmtId="202" fontId="10" fillId="7" borderId="0" xfId="0" applyNumberFormat="1" applyFont="1" applyFill="1" applyBorder="1" applyAlignment="1">
      <x:alignment vertical="center"/>
    </x:xf>
    <x:xf numFmtId="202" fontId="10" fillId="7" borderId="2" xfId="0" applyNumberFormat="1" applyFont="1" applyFill="1" applyBorder="1" applyAlignment="1">
      <x:alignment vertical="center"/>
    </x:xf>
    <x:xf numFmtId="201" fontId="10" fillId="7" borderId="0" xfId="0" applyNumberFormat="1" applyFont="1" applyFill="1" applyBorder="1" applyAlignment="1">
      <x:alignment vertical="center"/>
    </x:xf>
    <x:xf numFmtId="201" fontId="10" fillId="7" borderId="2" xfId="0" applyNumberFormat="1" applyFont="1" applyFill="1" applyBorder="1" applyAlignment="1">
      <x:alignment vertical="center"/>
    </x:xf>
    <x:xf numFmtId="201" fontId="12" fillId="6" borderId="0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B301D"/>
      </x:font>
      <x:fill>
        <x:patternFill>
          <x:bgColor rgb="FFFCE6DC"/>
        </x:patternFill>
      </x:fill>
    </x:dxf>
    <x:dxf>
      <x:font>
        <x:b/>
        <x:color rgb="FF9B301D"/>
      </x:font>
      <x:fill>
        <x:patternFill>
          <x:bgColor rgb="FFFCE6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72db2694d49a4" /><Relationship Type="http://schemas.openxmlformats.org/officeDocument/2006/relationships/theme" Target="/xl/theme/theme1.xml" Id="R4629233f45024987" /><Relationship Type="http://schemas.openxmlformats.org/officeDocument/2006/relationships/sharedStrings" Target="/xl/sharedStrings.xml" Id="Rf42ac68cd8144fff" /><Relationship Type="http://schemas.openxmlformats.org/officeDocument/2006/relationships/worksheet" Target="/xl/worksheets/sheet1.xml" Id="R5dcfd7aebaf14f2f" /><Relationship Type="http://schemas.openxmlformats.org/officeDocument/2006/relationships/worksheet" Target="/xl/worksheets/sheet2.xml" Id="R69aee6f5a12d4d09" /><Relationship Type="http://schemas.openxmlformats.org/officeDocument/2006/relationships/worksheet" Target="/xl/worksheets/sheet3.xml" Id="R57ee012c88ef4ca3" /><Relationship Type="http://schemas.openxmlformats.org/officeDocument/2006/relationships/worksheet" Target="/xl/worksheets/sheet4.xml" Id="R20f9ffaeac70472b" /><Relationship Type="http://schemas.openxmlformats.org/officeDocument/2006/relationships/worksheet" Target="/xl/worksheets/sheet5.xml" Id="R2de6f3ef2d3a41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758b3694cf94b8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6ac578b7dd84a6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7556439411e4fe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a9d3c32891e04c3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af13db7a80fc4d2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8b3694cf94b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c578b7dd84a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556439411e4f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d3c32891e04c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13db7a80fc4d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b7b32daf9340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39fe7ee0e33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4b4785b3f5f41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b8eb22b98434e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25c2b1aea3a040c8" /></Relationships>
</file>

<file path=xl/worksheets/sheet1.xml><?xml version="1.0" encoding="utf-8"?>
<x:worksheet xmlns:x="http://schemas.openxmlformats.org/spreadsheetml/2006/main">
  <x:sheetPr>
    <x:tabColor rgb="FFFAA21F"/>
  </x:sheetPr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135" customHeight="1">
      <x:c r="A1" s="36"/>
      <x:c r="B1" s="36"/>
      <x:c r="C1" s="36"/>
      <x:c r="D1" s="36"/>
      <x:c r="E1" s="36"/>
      <x:c r="F1" s="36"/>
    </x:row>
    <x:row r="2" ht="30" customHeight="1">
      <x:c r="A2" s="48" t="str">
        <x:v>SH | Kit-set proposal</x:v>
      </x:c>
      <x:c r="B2" s="49"/>
      <x:c r="C2" s="49"/>
      <x:c r="D2" s="49"/>
      <x:c r="E2" s="49"/>
      <x:c r="F2" s="49"/>
    </x:row>
    <x:row r="3" ht="23" customHeight="1">
      <x:c r="A3" s="36"/>
      <x:c r="B3" s="36"/>
      <x:c r="C3" s="36"/>
      <x:c r="D3" s="36"/>
      <x:c r="E3" s="36"/>
      <x:c r="F3" s="36"/>
    </x:row>
    <x:row r="4" ht="23" customHeight="1">
      <x:c r="A4" s="36" t="str">
        <x:v>Quote status</x:v>
      </x:c>
      <x:c r="B4" s="36" t="str">
        <x:f>'SH Pricing'!B42</x:f>
        <x:v>Enter customer, site and quote reference</x:v>
      </x:c>
      <x:c r="C4" s="36"/>
      <x:c r="D4" s="36"/>
      <x:c r="E4" s="36"/>
      <x:c r="F4" s="36"/>
    </x:row>
    <x:row r="5" ht="23" customHeight="1">
      <x:c r="A5" s="36"/>
      <x:c r="B5" s="36"/>
      <x:c r="C5" s="36"/>
      <x:c r="D5" s="36"/>
      <x:c r="E5" s="36"/>
      <x:c r="F5" s="36"/>
    </x:row>
    <x:row r="6" ht="23" customHeight="1">
      <x:c r="A6" s="36" t="str">
        <x:v>Customer</x:v>
      </x:c>
      <x:c r="B6" s="36" t="str">
        <x:f>IF('SH Pricing'!B7="","",'SH Pricing'!B7)</x:f>
      </x:c>
      <x:c r="C6" s="36"/>
      <x:c r="D6" s="36"/>
      <x:c r="E6" s="36"/>
      <x:c r="F6" s="36"/>
    </x:row>
    <x:row r="7" ht="23" customHeight="1">
      <x:c r="A7" s="36" t="str">
        <x:v>Site address</x:v>
      </x:c>
      <x:c r="B7" s="36" t="str">
        <x:f>IF('SH Pricing'!B8="","",'SH Pricing'!B8)</x:f>
      </x:c>
      <x:c r="C7" s="36"/>
      <x:c r="D7" s="36"/>
      <x:c r="E7" s="36"/>
      <x:c r="F7" s="36"/>
    </x:row>
    <x:row r="8" ht="23" customHeight="1">
      <x:c r="A8" s="36" t="str">
        <x:v>Quote reference</x:v>
      </x:c>
      <x:c r="B8" s="36" t="str">
        <x:f>IF('SH Pricing'!B9="","",'SH Pricing'!B9)</x:f>
      </x:c>
      <x:c r="C8" s="36"/>
      <x:c r="D8" s="36"/>
      <x:c r="E8" s="36"/>
      <x:c r="F8" s="36"/>
    </x:row>
    <x:row r="9" ht="23" customHeight="1">
      <x:c r="A9" s="36" t="str">
        <x:v>Quote date</x:v>
      </x:c>
      <x:c r="B9" s="38" t="n">
        <x:f>IF('SH Pricing'!B10="","",'SH Pricing'!B10)</x:f>
        <x:v>46310</x:v>
      </x:c>
      <x:c r="C9" s="36"/>
      <x:c r="D9" s="36"/>
      <x:c r="E9" s="36"/>
      <x:c r="F9" s="36"/>
    </x:row>
    <x:row r="10" ht="23" customHeight="1">
      <x:c r="A10" s="36" t="str">
        <x:v>Valid until</x:v>
      </x:c>
      <x:c r="B10" s="38" t="str">
        <x:f>IF('SH Pricing'!B11="","",'SH Pricing'!B11)</x:f>
      </x:c>
      <x:c r="C10" s="36"/>
      <x:c r="D10" s="36"/>
      <x:c r="E10" s="36"/>
      <x:c r="F10" s="36"/>
    </x:row>
    <x:row r="11" ht="23" customHeight="1">
      <x:c r="A11" s="36"/>
      <x:c r="B11" s="36"/>
      <x:c r="C11" s="36"/>
      <x:c r="D11" s="36"/>
      <x:c r="E11" s="36"/>
      <x:c r="F11" s="36"/>
    </x:row>
    <x:row r="12" ht="23" customHeight="1">
      <x:c r="A12" s="36" t="str">
        <x:v>Building specification</x:v>
      </x:c>
      <x:c r="B12" s="39" t="str">
        <x:f>IF('SH Pricing'!B16="","",'SH Pricing'!B16)</x:f>
      </x:c>
      <x:c r="C12" s="39"/>
      <x:c r="D12" s="39"/>
      <x:c r="E12" s="39"/>
      <x:c r="F12" s="39"/>
    </x:row>
    <x:row r="13" ht="23" customHeight="1">
      <x:c r="A13" s="36" t="str">
        <x:v>Supplier / kit reference</x:v>
      </x:c>
      <x:c r="B13" s="39" t="str">
        <x:f>IF('SH Pricing'!B20="","",'SH Pricing'!B20)</x:f>
      </x:c>
      <x:c r="C13" s="39"/>
      <x:c r="D13" s="39"/>
      <x:c r="E13" s="39"/>
      <x:c r="F13" s="39"/>
    </x:row>
    <x:row r="14" ht="23" customHeight="1">
      <x:c r="A14" s="36"/>
      <x:c r="B14" s="36"/>
      <x:c r="C14" s="36"/>
      <x:c r="D14" s="36"/>
      <x:c r="E14" s="36"/>
      <x:c r="F14" s="36"/>
    </x:row>
    <x:row r="15" ht="26" customHeight="1">
      <x:c r="A15" s="45" t="str">
        <x:v>Kit-set supply</x:v>
      </x:c>
      <x:c r="B15" s="45"/>
      <x:c r="C15" s="45"/>
      <x:c r="D15" s="45"/>
      <x:c r="E15" s="45"/>
      <x:c r="F15" s="45" t="str">
        <x:v>NZD excl. GST</x:v>
      </x:c>
    </x:row>
    <x:row r="16" ht="23" customHeight="1">
      <x:c r="A16" s="36" t="str">
        <x:v>Kit package and selected supply extras</x:v>
      </x:c>
      <x:c r="B16" s="36"/>
      <x:c r="C16" s="36"/>
      <x:c r="D16" s="36"/>
      <x:c r="E16" s="36"/>
      <x:c r="F16" s="41" t="str">
        <x:f>IF('SH Pricing'!B42="Ready to issue",'SH Pricing'!F38,"")</x:f>
      </x:c>
    </x:row>
    <x:row r="17" ht="23" customHeight="1">
      <x:c r="A17" s="36"/>
      <x:c r="B17" s="36"/>
      <x:c r="C17" s="36"/>
      <x:c r="D17" s="36"/>
      <x:c r="E17" s="36"/>
      <x:c r="F17" s="41"/>
    </x:row>
    <x:row r="18" ht="23" customHeight="1">
      <x:c r="A18" s="36" t="str">
        <x:v>Subtotal excluding GST</x:v>
      </x:c>
      <x:c r="B18" s="36"/>
      <x:c r="C18" s="36"/>
      <x:c r="D18" s="36"/>
      <x:c r="E18" s="36"/>
      <x:c r="F18" s="41" t="str">
        <x:f>IF(F16="","",F16)</x:f>
      </x:c>
    </x:row>
    <x:row r="19" ht="23" customHeight="1">
      <x:c r="A19" s="36" t="str">
        <x:v>GST</x:v>
      </x:c>
      <x:c r="B19" s="36"/>
      <x:c r="C19" s="36"/>
      <x:c r="D19" s="36"/>
      <x:c r="E19" s="36"/>
      <x:c r="F19" s="41" t="str">
        <x:f>IF('SH Pricing'!B42="Ready to issue",'SH Pricing'!F39,"")</x:f>
      </x:c>
    </x:row>
    <x:row r="20" ht="28" customHeight="1">
      <x:c r="A20" s="46" t="str">
        <x:v>Total including GST</x:v>
      </x:c>
      <x:c r="B20" s="46"/>
      <x:c r="C20" s="46"/>
      <x:c r="D20" s="46"/>
      <x:c r="E20" s="46"/>
      <x:c r="F20" s="47" t="str">
        <x:f>IF('SH Pricing'!B42="Ready to issue",'SH Pricing'!F40,"")</x:f>
      </x:c>
    </x:row>
    <x:row r="21" ht="23" customHeight="1">
      <x:c r="A21" s="36"/>
      <x:c r="B21" s="36"/>
      <x:c r="C21" s="36"/>
      <x:c r="D21" s="36"/>
      <x:c r="E21" s="36"/>
      <x:c r="F21" s="36"/>
    </x:row>
    <x:row r="22" ht="23" customHeight="1">
      <x:c r="A22" s="36"/>
      <x:c r="B22" s="36"/>
      <x:c r="C22" s="36"/>
      <x:c r="D22" s="36"/>
      <x:c r="E22" s="36"/>
      <x:c r="F22" s="36"/>
    </x:row>
    <x:row r="23" ht="26" customHeight="1">
      <x:c r="A23" s="45" t="str">
        <x:v>Included supply</x:v>
      </x:c>
      <x:c r="B23" s="45"/>
      <x:c r="C23" s="45"/>
      <x:c r="D23" s="45"/>
      <x:c r="E23" s="45"/>
      <x:c r="F23" s="45"/>
    </x:row>
    <x:row r="24" ht="23" customHeight="1">
      <x:c r="A24" s="39" t="str">
        <x:f>IF('SH Pricing'!B17="","",'SH Pricing'!B17)</x:f>
      </x:c>
      <x:c r="B24" s="39"/>
      <x:c r="C24" s="39"/>
      <x:c r="D24" s="39"/>
      <x:c r="E24" s="39"/>
      <x:c r="F24" s="39"/>
    </x:row>
    <x:row r="25" ht="23" customHeight="1">
      <x:c r="A25" s="39"/>
      <x:c r="B25" s="39"/>
      <x:c r="C25" s="39"/>
      <x:c r="D25" s="39"/>
      <x:c r="E25" s="39"/>
      <x:c r="F25" s="39"/>
    </x:row>
    <x:row r="26" ht="23" customHeight="1">
      <x:c r="A26" s="39"/>
      <x:c r="B26" s="39"/>
      <x:c r="C26" s="39"/>
      <x:c r="D26" s="39"/>
      <x:c r="E26" s="39"/>
      <x:c r="F26" s="39"/>
    </x:row>
    <x:row r="27" ht="23" customHeight="1">
      <x:c r="A27" s="36"/>
      <x:c r="B27" s="36"/>
      <x:c r="C27" s="36"/>
      <x:c r="D27" s="36"/>
      <x:c r="E27" s="36"/>
      <x:c r="F27" s="36"/>
    </x:row>
    <x:row r="28" ht="26" customHeight="1">
      <x:c r="A28" s="45" t="str">
        <x:v>Excluded work</x:v>
      </x:c>
      <x:c r="B28" s="45"/>
      <x:c r="C28" s="45"/>
      <x:c r="D28" s="45"/>
      <x:c r="E28" s="45"/>
      <x:c r="F28" s="45"/>
    </x:row>
    <x:row r="29" ht="23" customHeight="1">
      <x:c r="A29" s="39" t="str">
        <x:f>'SH Pricing'!B18</x:f>
        <x:v>Slab, earthworks, erection, site labour, consent and engineering services unless expressly included above.</x:v>
      </x:c>
      <x:c r="B29" s="39"/>
      <x:c r="C29" s="39"/>
      <x:c r="D29" s="39"/>
      <x:c r="E29" s="39"/>
      <x:c r="F29" s="39"/>
    </x:row>
    <x:row r="30" ht="23" customHeight="1">
      <x:c r="A30" s="39"/>
      <x:c r="B30" s="39"/>
      <x:c r="C30" s="39"/>
      <x:c r="D30" s="39"/>
      <x:c r="E30" s="39"/>
      <x:c r="F30" s="39"/>
    </x:row>
    <x:row r="31" ht="23" customHeight="1">
      <x:c r="A31" s="39"/>
      <x:c r="B31" s="39"/>
      <x:c r="C31" s="39"/>
      <x:c r="D31" s="39"/>
      <x:c r="E31" s="39"/>
      <x:c r="F31" s="39"/>
    </x:row>
    <x:row r="32" ht="23" customHeight="1">
      <x:c r="A32" s="36"/>
      <x:c r="B32" s="36"/>
      <x:c r="C32" s="36"/>
      <x:c r="D32" s="36"/>
      <x:c r="E32" s="36"/>
      <x:c r="F32" s="36"/>
    </x:row>
    <x:row r="33" ht="26" customHeight="1">
      <x:c r="A33" s="45" t="str">
        <x:v>Supply and payment terms</x:v>
      </x:c>
      <x:c r="B33" s="45"/>
      <x:c r="C33" s="45"/>
      <x:c r="D33" s="45"/>
      <x:c r="E33" s="45"/>
      <x:c r="F33" s="45"/>
    </x:row>
    <x:row r="34" ht="23" customHeight="1">
      <x:c r="A34" s="39" t="str">
        <x:f>IF('SH Pricing'!B19="","",'SH Pricing'!B19)</x:f>
      </x:c>
      <x:c r="B34" s="39"/>
      <x:c r="C34" s="39"/>
      <x:c r="D34" s="39"/>
      <x:c r="E34" s="39"/>
      <x:c r="F34" s="39"/>
    </x:row>
    <x:row r="35" ht="23" customHeight="1">
      <x:c r="A35" s="39"/>
      <x:c r="B35" s="39"/>
      <x:c r="C35" s="39"/>
      <x:c r="D35" s="39"/>
      <x:c r="E35" s="39"/>
      <x:c r="F35" s="39"/>
    </x:row>
    <x:row r="36" ht="23" customHeight="1">
      <x:c r="A36" s="39"/>
      <x:c r="B36" s="39"/>
      <x:c r="C36" s="39"/>
      <x:c r="D36" s="39"/>
      <x:c r="E36" s="39"/>
      <x:c r="F36" s="39"/>
    </x:row>
    <x:row r="37" ht="23" customHeight="1">
      <x:c r="A37" s="39"/>
      <x:c r="B37" s="39"/>
      <x:c r="C37" s="39"/>
      <x:c r="D37" s="39"/>
      <x:c r="E37" s="39"/>
      <x:c r="F37" s="39"/>
    </x:row>
    <x:row r="38" ht="23" customHeight="1">
      <x:c r="A38" s="36"/>
      <x:c r="B38" s="36"/>
      <x:c r="C38" s="36"/>
      <x:c r="D38" s="36"/>
      <x:c r="E38" s="36"/>
      <x:c r="F38" s="36"/>
    </x:row>
    <x:row r="39" ht="23" customHeight="1">
      <x:c r="A39" s="36" t="str">
        <x:v>Export only this sheet to PDF for the customer.</x:v>
      </x:c>
      <x:c r="B39" s="36"/>
      <x:c r="C39" s="36"/>
      <x:c r="D39" s="36"/>
      <x:c r="E39" s="36"/>
      <x:c r="F39" s="36"/>
    </x:row>
    <x:row r="40" ht="23" customHeight="1">
      <x:c r="A40" s="36"/>
      <x:c r="B40" s="36"/>
      <x:c r="C40" s="36"/>
      <x:c r="D40" s="36"/>
      <x:c r="E40" s="36"/>
      <x:c r="F40" s="36"/>
    </x:row>
    <x:row r="41" ht="23" customHeight="1">
      <x:c r="A41" s="36"/>
      <x:c r="B41" s="36"/>
      <x:c r="C41" s="36"/>
      <x:c r="D41" s="36"/>
      <x:c r="E41" s="36"/>
      <x:c r="F41" s="36"/>
    </x:row>
  </x:sheetData>
  <x:mergeCells>
    <x:mergeCell ref="A24:F26"/>
    <x:mergeCell ref="A29:F31"/>
    <x:mergeCell ref="A34:F37"/>
    <x:mergeCell ref="B4:F4"/>
    <x:mergeCell ref="B7:F7"/>
    <x:mergeCell ref="B12:F12"/>
    <x:mergeCell ref="B13:F13"/>
    <x:mergeCell ref="B6:F6"/>
    <x:mergeCell ref="B8:F8"/>
    <x:mergeCell ref="A39:F39"/>
    <x:mergeCell ref="A2:F2"/>
  </x:mergeCells>
  <x:conditionalFormatting sqref="B4:B4">
    <x:cfRule type="cellIs" dxfId="1" priority="1" operator="notEqual">
      <x:formula>"Ready to issue"</x:formula>
    </x:cfRule>
  </x:conditionalFormatting>
  <x:pageMargins left="0.7" right="0.7" top="0.75" bottom="0.75" header="0.3" footer="0.3"/>
  <x:drawing xmlns:r="http://schemas.openxmlformats.org/officeDocument/2006/relationships" r:id="Rbdb7b32daf934094"/>
</x:worksheet>
</file>

<file path=xl/worksheets/sheet2.xml><?xml version="1.0" encoding="utf-8"?>
<x:worksheet xmlns:x="http://schemas.openxmlformats.org/spreadsheetml/2006/main">
  <x:sheetPr>
    <x:tabColor rgb="FF20353C"/>
  </x:sheetPr>
  <x:sheetViews>
    <x:sheetView showGridLines="0" workbookViewId="0"/>
  </x:sheetViews>
  <x:sheetFormatPr defaultRowHeight="15"/>
  <x:cols>
    <x:col min="1" max="1" width="41" hidden="0" customWidth="1"/>
    <x:col min="2" max="2" width="25" hidden="0" customWidth="1"/>
    <x:col min="3" max="3" width="21" hidden="0" customWidth="1"/>
    <x:col min="4" max="4" width="3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35" customHeight="1">
      <x:c r="A1" s="36"/>
      <x:c r="B1" s="36"/>
      <x:c r="C1" s="36"/>
      <x:c r="D1" s="36"/>
      <x:c r="E1" s="36"/>
      <x:c r="F1" s="36"/>
      <x:c r="G1" s="36"/>
      <x:c r="H1" s="36"/>
    </x:row>
    <x:row r="2" ht="30" customHeight="1">
      <x:c r="A2" s="48" t="str">
        <x:v>SH | Kit-set pricing</x:v>
      </x:c>
      <x:c r="B2" s="49"/>
      <x:c r="C2" s="49"/>
      <x:c r="D2" s="49"/>
      <x:c r="E2" s="49"/>
      <x:c r="F2" s="49"/>
      <x:c r="G2" s="49"/>
      <x:c r="H2" s="49"/>
    </x:row>
    <x:row r="3" ht="23" customHeight="1">
      <x:c r="A3" s="36" t="str">
        <x:v>Internal use • linen cells are editable • all costs in NZD excluding GST</x:v>
      </x:c>
      <x:c r="B3" s="36"/>
      <x:c r="C3" s="36"/>
      <x:c r="D3" s="36"/>
      <x:c r="E3" s="36"/>
      <x:c r="F3" s="36"/>
      <x:c r="G3" s="36"/>
      <x:c r="H3" s="36"/>
    </x:row>
    <x:row r="4" ht="23" customHeight="1">
      <x:c r="A4" s="36"/>
      <x:c r="B4" s="36"/>
      <x:c r="C4" s="36"/>
      <x:c r="D4" s="36"/>
      <x:c r="E4" s="36"/>
      <x:c r="F4" s="36"/>
      <x:c r="G4" s="36"/>
      <x:c r="H4" s="36"/>
    </x:row>
    <x:row r="5" ht="23" customHeight="1">
      <x:c r="A5" s="36" t="str">
        <x:v>Base proposal number (1–5)</x:v>
      </x:c>
      <x:c r="B5" s="67" t="n">
        <x:v>1</x:v>
      </x:c>
      <x:c r="C5" s="36"/>
      <x:c r="D5" s="36" t="str">
        <x:v>Historical base</x:v>
      </x:c>
      <x:c r="E5" s="36" t="str">
        <x:f>INDEX('Base Proposals'!B6:B10,B5)</x:f>
        <x:v>MILNE 100114</x:v>
      </x:c>
      <x:c r="F5" s="36"/>
      <x:c r="G5" s="36"/>
      <x:c r="H5" s="36"/>
    </x:row>
    <x:row r="6" ht="23" customHeight="1">
      <x:c r="A6" s="36"/>
      <x:c r="B6" s="36"/>
      <x:c r="C6" s="36"/>
      <x:c r="D6" s="36"/>
      <x:c r="E6" s="36"/>
      <x:c r="F6" s="36"/>
      <x:c r="G6" s="36"/>
      <x:c r="H6" s="36"/>
    </x:row>
    <x:row r="7" ht="23" customHeight="1">
      <x:c r="A7" s="36" t="str">
        <x:v>Customer</x:v>
      </x:c>
      <x:c r="B7" s="67"/>
      <x:c r="C7" s="36"/>
      <x:c r="D7" s="36" t="str">
        <x:v>Base length (m)</x:v>
      </x:c>
      <x:c r="E7" s="36" t="n">
        <x:f>INDEX('Base Proposals'!D6:D10,B5)</x:f>
        <x:v>30</x:v>
      </x:c>
      <x:c r="F7" s="36"/>
      <x:c r="G7" s="36"/>
      <x:c r="H7" s="36"/>
    </x:row>
    <x:row r="8" ht="23" customHeight="1">
      <x:c r="A8" s="36" t="str">
        <x:v>Site address</x:v>
      </x:c>
      <x:c r="B8" s="69"/>
      <x:c r="C8" s="59"/>
      <x:c r="D8" s="59"/>
      <x:c r="E8" s="59"/>
      <x:c r="F8" s="59"/>
      <x:c r="G8" s="59"/>
      <x:c r="H8" s="59"/>
    </x:row>
    <x:row r="9" ht="23" customHeight="1">
      <x:c r="A9" s="36" t="str">
        <x:v>Quote reference</x:v>
      </x:c>
      <x:c r="B9" s="67"/>
      <x:c r="C9" s="36"/>
      <x:c r="D9" s="36" t="str">
        <x:v>Base span / knee (m)</x:v>
      </x:c>
      <x:c r="E9" s="36" t="str">
        <x:f>INDEX('Base Proposals'!E6:E10,B5)&amp;" / "&amp;INDEX('Base Proposals'!F6:F10,B5)</x:f>
        <x:v>10 / 3.2</x:v>
      </x:c>
      <x:c r="F9" s="36"/>
      <x:c r="G9" s="36"/>
      <x:c r="H9" s="36"/>
    </x:row>
    <x:row r="10" ht="23" customHeight="1">
      <x:c r="A10" s="36" t="str">
        <x:v>Quote date</x:v>
      </x:c>
      <x:c r="B10" s="71" t="d">
        <x:v>2026-10-15T00:00:00.000Z</x:v>
      </x:c>
      <x:c r="C10" s="36"/>
      <x:c r="D10" s="36" t="str">
        <x:v>Price method</x:v>
      </x:c>
      <x:c r="E10" s="67" t="str">
        <x:v>Markup</x:v>
      </x:c>
      <x:c r="F10" s="36"/>
      <x:c r="G10" s="36"/>
      <x:c r="H10" s="36"/>
    </x:row>
    <x:row r="11" ht="23" customHeight="1">
      <x:c r="A11" s="36" t="str">
        <x:v>Valid until</x:v>
      </x:c>
      <x:c r="B11" s="71"/>
      <x:c r="C11" s="36"/>
      <x:c r="D11" s="36" t="str">
        <x:v>Historical markup</x:v>
      </x:c>
      <x:c r="E11" s="61" t="n">
        <x:f>INDEX('Base Proposals'!J6:J10,B5)</x:f>
        <x:v>0.47</x:v>
      </x:c>
      <x:c r="F11" s="36"/>
      <x:c r="G11" s="36"/>
      <x:c r="H11" s="36"/>
    </x:row>
    <x:row r="12" ht="23" customHeight="1">
      <x:c r="A12" s="36" t="str">
        <x:v>Current costs confirmed?</x:v>
      </x:c>
      <x:c r="B12" s="67" t="str">
        <x:v>No</x:v>
      </x:c>
      <x:c r="C12" s="36"/>
      <x:c r="D12" s="36" t="str">
        <x:v>Rate override (blank = base)</x:v>
      </x:c>
      <x:c r="E12" s="73"/>
      <x:c r="F12" s="36"/>
      <x:c r="G12" s="36"/>
      <x:c r="H12" s="36"/>
    </x:row>
    <x:row r="13" ht="23" customHeight="1">
      <x:c r="A13" s="36" t="str">
        <x:v>Scope and terms confirmed?</x:v>
      </x:c>
      <x:c r="B13" s="67" t="str">
        <x:v>No</x:v>
      </x:c>
      <x:c r="C13" s="36"/>
      <x:c r="D13" s="36" t="str">
        <x:v>GST rate (source template)</x:v>
      </x:c>
      <x:c r="E13" s="73" t="n">
        <x:v>0.15</x:v>
      </x:c>
      <x:c r="F13" s="36"/>
      <x:c r="G13" s="36"/>
      <x:c r="H13" s="36"/>
    </x:row>
    <x:row r="14" ht="23" customHeight="1">
      <x:c r="A14" s="36" t="str">
        <x:v>Supplier quote reference</x:v>
      </x:c>
      <x:c r="B14" s="69"/>
      <x:c r="C14" s="59"/>
      <x:c r="D14" s="59"/>
      <x:c r="E14" s="59"/>
      <x:c r="F14" s="59"/>
      <x:c r="G14" s="59"/>
      <x:c r="H14" s="59"/>
    </x:row>
    <x:row r="15" ht="23" customHeight="1">
      <x:c r="A15" s="36"/>
      <x:c r="B15" s="36"/>
      <x:c r="C15" s="36"/>
      <x:c r="D15" s="36"/>
      <x:c r="E15" s="36"/>
      <x:c r="F15" s="36"/>
      <x:c r="G15" s="36"/>
      <x:c r="H15" s="36"/>
    </x:row>
    <x:row r="16" ht="42" customHeight="1">
      <x:c r="A16" s="36" t="str">
        <x:v>Building specification</x:v>
      </x:c>
      <x:c r="B16" s="69"/>
      <x:c r="C16" s="59"/>
      <x:c r="D16" s="59"/>
      <x:c r="E16" s="59"/>
      <x:c r="F16" s="59"/>
      <x:c r="G16" s="59"/>
      <x:c r="H16" s="59"/>
    </x:row>
    <x:row r="17" ht="42" customHeight="1">
      <x:c r="A17" s="36" t="str">
        <x:v>Included supply</x:v>
      </x:c>
      <x:c r="B17" s="69"/>
      <x:c r="C17" s="59"/>
      <x:c r="D17" s="59"/>
      <x:c r="E17" s="59"/>
      <x:c r="F17" s="59"/>
      <x:c r="G17" s="59"/>
      <x:c r="H17" s="59"/>
    </x:row>
    <x:row r="18" ht="42" customHeight="1">
      <x:c r="A18" s="36" t="str">
        <x:v>Excluded work</x:v>
      </x:c>
      <x:c r="B18" s="69" t="str">
        <x:v>Slab, earthworks, erection, site labour, consent and engineering services unless expressly included above.</x:v>
      </x:c>
      <x:c r="C18" s="59"/>
      <x:c r="D18" s="59"/>
      <x:c r="E18" s="59"/>
      <x:c r="F18" s="59"/>
      <x:c r="G18" s="59"/>
      <x:c r="H18" s="59"/>
    </x:row>
    <x:row r="19" ht="42" customHeight="1">
      <x:c r="A19" s="36" t="str">
        <x:v>Supply and payment terms</x:v>
      </x:c>
      <x:c r="B19" s="69"/>
      <x:c r="C19" s="59"/>
      <x:c r="D19" s="59"/>
      <x:c r="E19" s="59"/>
      <x:c r="F19" s="59"/>
      <x:c r="G19" s="59"/>
      <x:c r="H19" s="59"/>
    </x:row>
    <x:row r="20" ht="23" customHeight="1">
      <x:c r="A20" s="36" t="str">
        <x:v>Supplier / kit reference</x:v>
      </x:c>
      <x:c r="B20" s="69"/>
      <x:c r="C20" s="59"/>
      <x:c r="D20" s="59"/>
      <x:c r="E20" s="59"/>
      <x:c r="F20" s="59"/>
      <x:c r="G20" s="59"/>
      <x:c r="H20" s="59"/>
    </x:row>
    <x:row r="21" ht="23" customHeight="1">
      <x:c r="A21" s="36"/>
      <x:c r="B21" s="36"/>
      <x:c r="C21" s="36"/>
      <x:c r="D21" s="36"/>
      <x:c r="E21" s="36"/>
      <x:c r="F21" s="36"/>
      <x:c r="G21" s="36"/>
      <x:c r="H21" s="36"/>
    </x:row>
    <x:row r="22" ht="23" customHeight="1">
      <x:c r="A22" s="36"/>
      <x:c r="B22" s="36"/>
      <x:c r="C22" s="36"/>
      <x:c r="D22" s="36"/>
      <x:c r="E22" s="36"/>
      <x:c r="F22" s="36"/>
      <x:c r="G22" s="36"/>
      <x:c r="H22" s="36"/>
    </x:row>
    <x:row r="23" ht="26" customHeight="1">
      <x:c r="A23" s="45" t="str">
        <x:v>Cost item</x:v>
      </x:c>
      <x:c r="B23" s="45" t="str">
        <x:v>Historical cost</x:v>
      </x:c>
      <x:c r="C23" s="45" t="str">
        <x:v>Current cost</x:v>
      </x:c>
      <x:c r="D23" s="45" t="str">
        <x:v>Active cost</x:v>
      </x:c>
      <x:c r="E23" s="45" t="str">
        <x:v>Basis</x:v>
      </x:c>
      <x:c r="F23" s="45"/>
      <x:c r="G23" s="45"/>
      <x:c r="H23" s="45"/>
    </x:row>
    <x:row r="24" ht="23" customHeight="1">
      <x:c r="A24" s="36" t="str">
        <x:v>Primary kit supply</x:v>
      </x:c>
      <x:c r="B24" s="41" t="n">
        <x:f>INDEX('Base Proposals'!G6:G10,$B$5)</x:f>
        <x:v>63927.38</x:v>
      </x:c>
      <x:c r="C24" s="75"/>
      <x:c r="D24" s="41" t="n">
        <x:f>IF(C24="",B24,C24)</x:f>
        <x:v>63927.38</x:v>
      </x:c>
      <x:c r="E24" s="36" t="str">
        <x:v>Blank current cost uses historical cost.</x:v>
      </x:c>
      <x:c r="F24" s="36"/>
      <x:c r="G24" s="36"/>
      <x:c r="H24" s="36"/>
    </x:row>
    <x:row r="25" ht="23" customHeight="1">
      <x:c r="A25" s="36" t="str">
        <x:v>Secondary kit / garage</x:v>
      </x:c>
      <x:c r="B25" s="41" t="n">
        <x:f>INDEX('Base Proposals'!H6:H10,$B$5)</x:f>
        <x:v>0</x:v>
      </x:c>
      <x:c r="C25" s="75"/>
      <x:c r="D25" s="41" t="n">
        <x:f>IF(C25="",B25,C25)</x:f>
        <x:v>0</x:v>
      </x:c>
      <x:c r="E25" s="36" t="str">
        <x:v>Use zero to exclude a historical item.</x:v>
      </x:c>
      <x:c r="F25" s="36"/>
      <x:c r="G25" s="36"/>
      <x:c r="H25" s="36"/>
    </x:row>
    <x:row r="26" ht="23" customHeight="1">
      <x:c r="A26" s="36" t="str">
        <x:v>Kit freight</x:v>
      </x:c>
      <x:c r="B26" s="41" t="n">
        <x:f>INDEX('Base Proposals'!I6:I10,$B$5)</x:f>
        <x:v>0</x:v>
      </x:c>
      <x:c r="C26" s="75"/>
      <x:c r="D26" s="41" t="n">
        <x:f>IF(C26="",B26,C26)</x:f>
        <x:v>0</x:v>
      </x:c>
      <x:c r="E26" s="36" t="str">
        <x:v>Enter freight as a dollar cost.</x:v>
      </x:c>
      <x:c r="F26" s="36"/>
      <x:c r="G26" s="36"/>
      <x:c r="H26" s="36"/>
    </x:row>
    <x:row r="27" ht="23" customHeight="1">
      <x:c r="A27" s="36" t="str">
        <x:v>PA door freight</x:v>
      </x:c>
      <x:c r="B27" s="41" t="n">
        <x:f>INDEX('Base Proposals'!L6:L10,$B$5)</x:f>
        <x:v>0</x:v>
      </x:c>
      <x:c r="C27" s="75"/>
      <x:c r="D27" s="41" t="n">
        <x:f>IF(C27="",B27,C27)</x:f>
        <x:v>0</x:v>
      </x:c>
      <x:c r="E27" s="36"/>
      <x:c r="F27" s="36"/>
      <x:c r="G27" s="36"/>
      <x:c r="H27" s="36"/>
    </x:row>
    <x:row r="28" ht="23" customHeight="1">
      <x:c r="A28" s="36" t="str">
        <x:v>Roller door freight</x:v>
      </x:c>
      <x:c r="B28" s="41" t="n">
        <x:f>INDEX('Base Proposals'!M6:M10,$B$5)</x:f>
        <x:v>0</x:v>
      </x:c>
      <x:c r="C28" s="75"/>
      <x:c r="D28" s="41" t="n">
        <x:f>IF(C28="",B28,C28)</x:f>
        <x:v>0</x:v>
      </x:c>
      <x:c r="E28" s="36"/>
      <x:c r="F28" s="36"/>
      <x:c r="G28" s="36"/>
      <x:c r="H28" s="36"/>
    </x:row>
    <x:row r="29" ht="23" customHeight="1">
      <x:c r="A29" s="36" t="str">
        <x:v>Delivery to site</x:v>
      </x:c>
      <x:c r="B29" s="41" t="n">
        <x:v>0</x:v>
      </x:c>
      <x:c r="C29" s="75"/>
      <x:c r="D29" s="41" t="n">
        <x:f>IF(C29="",B29,C29)</x:f>
        <x:v>0</x:v>
      </x:c>
      <x:c r="E29" s="36" t="str">
        <x:v>Zero means delivery is excluded or included in kit cost.</x:v>
      </x:c>
      <x:c r="F29" s="36"/>
      <x:c r="G29" s="36"/>
      <x:c r="H29" s="36"/>
    </x:row>
    <x:row r="30" ht="23" customHeight="1">
      <x:c r="A30" s="36" t="str">
        <x:v>Other supply extras</x:v>
      </x:c>
      <x:c r="B30" s="41" t="n">
        <x:v>0</x:v>
      </x:c>
      <x:c r="C30" s="75"/>
      <x:c r="D30" s="41" t="n">
        <x:f>IF(C30="",B30,C30)</x:f>
        <x:v>0</x:v>
      </x:c>
      <x:c r="E30" s="36"/>
      <x:c r="F30" s="36"/>
      <x:c r="G30" s="36"/>
      <x:c r="H30" s="36"/>
    </x:row>
    <x:row r="31" ht="23" customHeight="1">
      <x:c r="A31" s="36"/>
      <x:c r="B31" s="36"/>
      <x:c r="C31" s="36"/>
      <x:c r="D31" s="36"/>
      <x:c r="E31" s="36"/>
      <x:c r="F31" s="36"/>
      <x:c r="G31" s="36"/>
      <x:c r="H31" s="36"/>
    </x:row>
    <x:row r="32" ht="23" customHeight="1">
      <x:c r="A32" s="36" t="str">
        <x:v>Total supply cost</x:v>
      </x:c>
      <x:c r="B32" s="36"/>
      <x:c r="C32" s="36"/>
      <x:c r="D32" s="41" t="n">
        <x:f>SUM(D24:D30)</x:f>
        <x:v>63927.38</x:v>
      </x:c>
      <x:c r="E32" s="36"/>
      <x:c r="F32" s="36"/>
      <x:c r="G32" s="36"/>
      <x:c r="H32" s="36"/>
    </x:row>
    <x:row r="33" ht="23" customHeight="1">
      <x:c r="A33" s="36" t="str">
        <x:v>Active pricing rate</x:v>
      </x:c>
      <x:c r="B33" s="36"/>
      <x:c r="C33" s="36"/>
      <x:c r="D33" s="61" t="n">
        <x:f>IF(E12="",IF(E10="Markup",E11,E11/(1+E11)),E12)</x:f>
        <x:v>0.47</x:v>
      </x:c>
      <x:c r="E33" s="36"/>
      <x:c r="F33" s="36"/>
      <x:c r="G33" s="36"/>
      <x:c r="H33" s="36"/>
    </x:row>
    <x:row r="34" ht="23" customHeight="1">
      <x:c r="A34" s="36" t="str">
        <x:v>Pricing input check</x:v>
      </x:c>
      <x:c r="B34" s="36" t="str">
        <x:f>IF(OR(B5&lt;1,B5&gt;5,B5&lt;&gt;INT(B5)),"Select base 1–5",IF(OR(COUNT(D24:D30)&lt;&gt;7,MIN(D24:D30)&lt;0,D24&lt;=0),"Enter valid supply costs",IF(OR(NOT(ISNUMBER(D33)),D33&lt;0,AND(E10="Gross margin",D33&gt;=1)),"Enter a valid pricing rate",IF(OR(NOT(ISNUMBER(E13)),E13&lt;0,E13&gt;1),"Enter a valid GST rate",IF(AND(E10&lt;&gt;"Markup",E10&lt;&gt;"Gross margin"),"Select pricing method","Valid")))))</x:f>
        <x:v>Valid</x:v>
      </x:c>
      <x:c r="C34" s="36"/>
      <x:c r="D34" s="36"/>
      <x:c r="E34" s="36"/>
      <x:c r="F34" s="36"/>
      <x:c r="G34" s="36"/>
      <x:c r="H34" s="36"/>
    </x:row>
    <x:row r="35" ht="23" customHeight="1">
      <x:c r="A35" s="36"/>
      <x:c r="B35" s="36"/>
      <x:c r="C35" s="36"/>
      <x:c r="D35" s="36"/>
      <x:c r="E35" s="36"/>
      <x:c r="F35" s="36"/>
      <x:c r="G35" s="36"/>
      <x:c r="H35" s="36"/>
    </x:row>
    <x:row r="36" ht="23" customHeight="1">
      <x:c r="A36" s="36" t="str">
        <x:v>Selling price before rounding</x:v>
      </x:c>
      <x:c r="B36" s="36"/>
      <x:c r="C36" s="36"/>
      <x:c r="D36" s="36"/>
      <x:c r="E36" s="36"/>
      <x:c r="F36" s="41" t="n">
        <x:f>IF(B34="Valid",IF(E10="Markup",D32*(1+D33),D32/(1-D33)),"")</x:f>
        <x:v>93973.24859999999</x:v>
      </x:c>
      <x:c r="G36" s="36"/>
      <x:c r="H36" s="36"/>
    </x:row>
    <x:row r="37" ht="23" customHeight="1">
      <x:c r="A37" s="36" t="str">
        <x:v>Gross profit excl. GST</x:v>
      </x:c>
      <x:c r="B37" s="36"/>
      <x:c r="C37" s="36"/>
      <x:c r="D37" s="36"/>
      <x:c r="E37" s="36"/>
      <x:c r="F37" s="41" t="n">
        <x:f>IF(B34="Valid",F38-D32,"")</x:f>
        <x:v>30045.870000000003</x:v>
      </x:c>
      <x:c r="G37" s="36"/>
      <x:c r="H37" s="36"/>
    </x:row>
    <x:row r="38" ht="23" customHeight="1">
      <x:c r="A38" s="36" t="str">
        <x:v>Customer price excl. GST</x:v>
      </x:c>
      <x:c r="B38" s="36"/>
      <x:c r="C38" s="36"/>
      <x:c r="D38" s="36"/>
      <x:c r="E38" s="36"/>
      <x:c r="F38" s="41" t="n">
        <x:f>IF(B34="Valid",ROUND(F36,2),"")</x:f>
        <x:v>93973.25</x:v>
      </x:c>
      <x:c r="G38" s="36"/>
      <x:c r="H38" s="36"/>
    </x:row>
    <x:row r="39" ht="23" customHeight="1">
      <x:c r="A39" s="36" t="str">
        <x:v>GST</x:v>
      </x:c>
      <x:c r="B39" s="36"/>
      <x:c r="C39" s="36"/>
      <x:c r="D39" s="36"/>
      <x:c r="E39" s="36"/>
      <x:c r="F39" s="41" t="n">
        <x:f>IF(B34="Valid",ROUND(F38*E13,2),"")</x:f>
        <x:v>14095.99</x:v>
      </x:c>
      <x:c r="G39" s="36"/>
      <x:c r="H39" s="36"/>
    </x:row>
    <x:row r="40" ht="26" customHeight="1">
      <x:c r="A40" s="45" t="str">
        <x:v>Customer total incl. GST</x:v>
      </x:c>
      <x:c r="B40" s="45"/>
      <x:c r="C40" s="45"/>
      <x:c r="D40" s="45"/>
      <x:c r="E40" s="45"/>
      <x:c r="F40" s="77" t="n">
        <x:f>IF(B34="Valid",SUM(F38:F39),"")</x:f>
        <x:v>108069.24</x:v>
      </x:c>
      <x:c r="G40" s="45"/>
      <x:c r="H40" s="45"/>
    </x:row>
    <x:row r="41" ht="23" customHeight="1">
      <x:c r="A41" s="36"/>
      <x:c r="B41" s="36"/>
      <x:c r="C41" s="36"/>
      <x:c r="D41" s="36"/>
      <x:c r="E41" s="36"/>
      <x:c r="F41" s="36"/>
      <x:c r="G41" s="36"/>
      <x:c r="H41" s="36"/>
    </x:row>
    <x:row r="42" ht="29" customHeight="1">
      <x:c r="A42" s="36" t="str">
        <x:v>Issue status</x:v>
      </x:c>
      <x:c r="B42" s="36" t="str">
        <x:f>IF(B34&lt;&gt;"Valid",B34,IF(OR(B7="",B8="",B9=""),"Enter customer, site and quote reference",IF(OR(NOT(ISNUMBER(B10)),NOT(ISNUMBER(B11))),"Enter quote date and validity date",IF(B11&lt;B10,"Validity must follow quote date",IF(B12&lt;&gt;"Yes","Confirm current supplier costs",IF(B13&lt;&gt;"Yes","Confirm scope and terms",IF(OR(B14="",B16="",B17="",B18="",B19="",B20=""),"Complete specification, scope and terms","Ready to issue")))))))</x:f>
        <x:v>Enter customer, site and quote reference</x:v>
      </x:c>
      <x:c r="C42" s="36"/>
      <x:c r="D42" s="36"/>
      <x:c r="E42" s="36"/>
      <x:c r="F42" s="36"/>
      <x:c r="G42" s="36"/>
      <x:c r="H42" s="36"/>
    </x:row>
    <x:row r="43" ht="23" customHeight="1">
      <x:c r="A43" s="36"/>
      <x:c r="B43" s="36"/>
      <x:c r="C43" s="36"/>
      <x:c r="D43" s="36"/>
      <x:c r="E43" s="36"/>
      <x:c r="F43" s="36"/>
      <x:c r="G43" s="36"/>
      <x:c r="H43" s="36"/>
    </x:row>
    <x:row r="44" ht="23" customHeight="1">
      <x:c r="A44" s="36"/>
      <x:c r="B44" s="36"/>
      <x:c r="C44" s="36"/>
      <x:c r="D44" s="36"/>
      <x:c r="E44" s="36"/>
      <x:c r="F44" s="36"/>
      <x:c r="G44" s="36"/>
      <x:c r="H44" s="36"/>
    </x:row>
    <x:row r="45" ht="26" customHeight="1">
      <x:c r="A45" s="79" t="str">
        <x:v>How to quote</x:v>
      </x:c>
      <x:c r="B45" s="65"/>
      <x:c r="C45" s="65"/>
      <x:c r="D45" s="65"/>
      <x:c r="E45" s="65"/>
      <x:c r="F45" s="65"/>
      <x:c r="G45" s="65"/>
      <x:c r="H45" s="65"/>
    </x:row>
    <x:row r="46" ht="28" customHeight="1">
      <x:c r="A46" s="39" t="str">
        <x:v>1. Select a historical proposal as a starting point. Save a separate copy for each new quote.</x:v>
      </x:c>
      <x:c r="B46" s="39"/>
      <x:c r="C46" s="39"/>
      <x:c r="D46" s="39"/>
      <x:c r="E46" s="39"/>
      <x:c r="F46" s="39"/>
      <x:c r="G46" s="39"/>
      <x:c r="H46" s="39"/>
    </x:row>
    <x:row r="47" ht="28" customHeight="1">
      <x:c r="A47" s="39" t="str">
        <x:v>2. Enter the customer, site, reference, quote dates and exact building specification.</x:v>
      </x:c>
      <x:c r="B47" s="39"/>
      <x:c r="C47" s="39"/>
      <x:c r="D47" s="39"/>
      <x:c r="E47" s="39"/>
      <x:c r="F47" s="39"/>
      <x:c r="G47" s="39"/>
      <x:c r="H47" s="39"/>
    </x:row>
    <x:row r="48" ht="28" customHeight="1">
      <x:c r="A48" s="39" t="str">
        <x:v>3. Enter current supplier costs and freight in column C. Blank uses history; zero removes a cost.</x:v>
      </x:c>
      <x:c r="B48" s="39"/>
      <x:c r="C48" s="39"/>
      <x:c r="D48" s="39"/>
      <x:c r="E48" s="39"/>
      <x:c r="F48" s="39"/>
      <x:c r="G48" s="39"/>
      <x:c r="H48" s="39"/>
    </x:row>
    <x:row r="49" ht="28" customHeight="1">
      <x:c r="A49" s="39" t="str">
        <x:v>4. Choose markup or gross margin. The default rate preserves the base proposal selling price.</x:v>
      </x:c>
      <x:c r="B49" s="39"/>
      <x:c r="C49" s="39"/>
      <x:c r="D49" s="39"/>
      <x:c r="E49" s="39"/>
      <x:c r="F49" s="39"/>
      <x:c r="G49" s="39"/>
      <x:c r="H49" s="39"/>
    </x:row>
    <x:row r="50" ht="28" customHeight="1">
      <x:c r="A50" s="39" t="str">
        <x:v>5. Describe the supply, exclusions and agreed payment / delivery terms. Confirm both review fields.</x:v>
      </x:c>
      <x:c r="B50" s="39"/>
      <x:c r="C50" s="39"/>
      <x:c r="D50" s="39"/>
      <x:c r="E50" s="39"/>
      <x:c r="F50" s="39"/>
      <x:c r="G50" s="39"/>
      <x:c r="H50" s="39"/>
    </x:row>
    <x:row r="51" ht="28" customHeight="1">
      <x:c r="A51" s="39" t="str">
        <x:v>6. Review Customer Quote, then export only that sheet to PDF. Keep this workbook within SH.</x:v>
      </x:c>
      <x:c r="B51" s="39"/>
      <x:c r="C51" s="39"/>
      <x:c r="D51" s="39"/>
      <x:c r="E51" s="39"/>
      <x:c r="F51" s="39"/>
      <x:c r="G51" s="39"/>
      <x:c r="H51" s="39"/>
    </x:row>
    <x:row r="52" ht="26" customHeight="1">
      <x:c r="A52" s="79" t="str">
        <x:v>Pricing basis</x:v>
      </x:c>
      <x:c r="B52" s="65"/>
      <x:c r="C52" s="65"/>
      <x:c r="D52" s="65"/>
      <x:c r="E52" s="65"/>
      <x:c r="F52" s="65"/>
      <x:c r="G52" s="65"/>
      <x:c r="H52" s="65"/>
    </x:row>
    <x:row r="53" ht="28" customHeight="1">
      <x:c r="A53" s="39" t="str">
        <x:v>Supplier kit cost is an input. Dimensions do not generate a supplier price or rescale historical costs.</x:v>
      </x:c>
      <x:c r="B53" s="39"/>
      <x:c r="C53" s="39"/>
      <x:c r="D53" s="39"/>
      <x:c r="E53" s="39"/>
      <x:c r="F53" s="39"/>
      <x:c r="G53" s="39"/>
      <x:c r="H53" s="39"/>
    </x:row>
    <x:row r="54" ht="28" customHeight="1">
      <x:c r="A54" s="39" t="str">
        <x:v>Markup: cost × (1 + rate). Gross margin: cost ÷ (1 − rate). GST is rounded to cents.</x:v>
      </x:c>
      <x:c r="B54" s="39"/>
      <x:c r="C54" s="39"/>
      <x:c r="D54" s="39"/>
      <x:c r="E54" s="39"/>
      <x:c r="F54" s="39"/>
      <x:c r="G54" s="39"/>
      <x:c r="H54" s="39"/>
    </x:row>
    <x:row r="55" ht="28" customHeight="1">
      <x:c r="A55" s="39" t="str">
        <x:v>The selected rate applies to all active supply costs, including freight and supply extras.</x:v>
      </x:c>
      <x:c r="B55" s="39"/>
      <x:c r="C55" s="39"/>
      <x:c r="D55" s="39"/>
      <x:c r="E55" s="39"/>
      <x:c r="F55" s="39"/>
      <x:c r="G55" s="39"/>
      <x:c r="H55" s="39"/>
    </x:row>
    <x:row r="56" ht="28" customHeight="1">
      <x:c r="A56" s="39" t="str">
        <x:v>Lang proposals contain separate habitable and garage kit costs; both are included by default.</x:v>
      </x:c>
      <x:c r="B56" s="39"/>
      <x:c r="C56" s="39"/>
      <x:c r="D56" s="39"/>
      <x:c r="E56" s="39"/>
      <x:c r="F56" s="39"/>
      <x:c r="G56" s="39"/>
      <x:c r="H56" s="39"/>
    </x:row>
    <x:row r="57" ht="28" customHeight="1">
      <x:c r="A57" s="39" t="str">
        <x:v>The RAMSAY files are separate variants with different costs and markups; they are not interchangeable.</x:v>
      </x:c>
      <x:c r="B57" s="39"/>
      <x:c r="C57" s="39"/>
      <x:c r="D57" s="39"/>
      <x:c r="E57" s="39"/>
      <x:c r="F57" s="39"/>
      <x:c r="G57" s="39"/>
      <x:c r="H57" s="39"/>
    </x:row>
    <x:row r="58" ht="28" customHeight="1">
      <x:c r="A58" s="39" t="str">
        <x:v>Historical prices are reference values. Obtain a current supplier quotation for the exact specification.</x:v>
      </x:c>
      <x:c r="B58" s="39"/>
      <x:c r="C58" s="39"/>
      <x:c r="D58" s="39"/>
      <x:c r="E58" s="39"/>
      <x:c r="F58" s="39"/>
      <x:c r="G58" s="39"/>
      <x:c r="H58" s="39"/>
    </x:row>
    <x:row r="59" ht="28" customHeight="1">
      <x:c r="A59" s="39" t="str">
        <x:v>Changing the base does not clear manual costs or confirmations. Clear them when starting a new quote.</x:v>
      </x:c>
      <x:c r="B59" s="39"/>
      <x:c r="C59" s="39"/>
      <x:c r="D59" s="39"/>
      <x:c r="E59" s="39"/>
      <x:c r="F59" s="39"/>
      <x:c r="G59" s="39"/>
      <x:c r="H59" s="39"/>
    </x:row>
    <x:row r="60" ht="28" customHeight="1">
      <x:c r="A60" s="39" t="str">
        <x:v>No slab, site work or erection calculations are included in this first version.</x:v>
      </x:c>
      <x:c r="B60" s="39"/>
      <x:c r="C60" s="39"/>
      <x:c r="D60" s="39"/>
      <x:c r="E60" s="39"/>
      <x:c r="F60" s="39"/>
      <x:c r="G60" s="39"/>
      <x:c r="H60" s="39"/>
    </x:row>
    <x:row r="61" ht="23" customHeight="1">
      <x:c r="A61" s="36"/>
      <x:c r="B61" s="36"/>
      <x:c r="C61" s="36"/>
      <x:c r="D61" s="36"/>
      <x:c r="E61" s="36"/>
      <x:c r="F61" s="36"/>
      <x:c r="G61" s="36"/>
      <x:c r="H61" s="36"/>
    </x:row>
    <x:row r="62" ht="23" customHeight="1">
      <x:c r="A62" s="36"/>
      <x:c r="B62" s="36"/>
      <x:c r="C62" s="36"/>
      <x:c r="D62" s="36"/>
      <x:c r="E62" s="36"/>
      <x:c r="F62" s="36"/>
      <x:c r="G62" s="36"/>
      <x:c r="H62" s="36"/>
    </x:row>
    <x:row r="63" ht="23" customHeight="1">
      <x:c r="A63" s="36"/>
      <x:c r="B63" s="36"/>
      <x:c r="C63" s="36"/>
      <x:c r="D63" s="36"/>
      <x:c r="E63" s="36"/>
      <x:c r="F63" s="36"/>
      <x:c r="G63" s="36"/>
      <x:c r="H63" s="36"/>
    </x:row>
    <x:row r="64" ht="23" customHeight="1">
      <x:c r="A64" s="36"/>
      <x:c r="B64" s="36"/>
      <x:c r="C64" s="36"/>
      <x:c r="D64" s="36"/>
      <x:c r="E64" s="36"/>
      <x:c r="F64" s="36"/>
      <x:c r="G64" s="36"/>
      <x:c r="H64" s="36"/>
    </x:row>
    <x:row r="65" ht="23" customHeight="1">
      <x:c r="A65" s="36"/>
      <x:c r="B65" s="36"/>
      <x:c r="C65" s="36"/>
      <x:c r="D65" s="36"/>
      <x:c r="E65" s="36"/>
      <x:c r="F65" s="36"/>
      <x:c r="G65" s="36"/>
      <x:c r="H65" s="36"/>
    </x:row>
    <x:row r="66" ht="23" customHeight="1">
      <x:c r="A66" s="36"/>
      <x:c r="B66" s="36"/>
      <x:c r="C66" s="36"/>
      <x:c r="D66" s="36"/>
      <x:c r="E66" s="36"/>
      <x:c r="F66" s="36"/>
      <x:c r="G66" s="36"/>
      <x:c r="H66" s="36"/>
    </x:row>
    <x:row r="67" ht="23" customHeight="1">
      <x:c r="A67" s="36"/>
      <x:c r="B67" s="36"/>
      <x:c r="C67" s="36"/>
      <x:c r="D67" s="36"/>
      <x:c r="E67" s="36"/>
      <x:c r="F67" s="36"/>
      <x:c r="G67" s="36"/>
      <x:c r="H67" s="36"/>
    </x:row>
    <x:row r="68" ht="23" customHeight="1">
      <x:c r="A68" s="36"/>
      <x:c r="B68" s="36"/>
      <x:c r="C68" s="36"/>
      <x:c r="D68" s="36"/>
      <x:c r="E68" s="36"/>
      <x:c r="F68" s="36"/>
      <x:c r="G68" s="36"/>
      <x:c r="H68" s="36"/>
    </x:row>
    <x:row r="69" ht="23" customHeight="1">
      <x:c r="A69" s="36"/>
      <x:c r="B69" s="36"/>
      <x:c r="C69" s="36"/>
      <x:c r="D69" s="36"/>
      <x:c r="E69" s="36"/>
      <x:c r="F69" s="36"/>
      <x:c r="G69" s="36"/>
      <x:c r="H69" s="36"/>
    </x:row>
    <x:row r="70" ht="23" customHeight="1">
      <x:c r="A70" s="36"/>
      <x:c r="B70" s="36"/>
      <x:c r="C70" s="36"/>
      <x:c r="D70" s="36"/>
      <x:c r="E70" s="36"/>
      <x:c r="F70" s="36"/>
      <x:c r="G70" s="36"/>
      <x:c r="H70" s="36"/>
    </x:row>
    <x:row r="71" ht="23" customHeight="1">
      <x:c r="A71" s="36"/>
      <x:c r="B71" s="36"/>
      <x:c r="C71" s="36"/>
      <x:c r="D71" s="36"/>
      <x:c r="E71" s="36"/>
      <x:c r="F71" s="36"/>
      <x:c r="G71" s="36"/>
      <x:c r="H71" s="36"/>
    </x:row>
    <x:row r="72" ht="23" customHeight="1">
      <x:c r="A72" s="36"/>
      <x:c r="B72" s="36"/>
      <x:c r="C72" s="36"/>
      <x:c r="D72" s="36"/>
      <x:c r="E72" s="36"/>
      <x:c r="F72" s="36"/>
      <x:c r="G72" s="36"/>
      <x:c r="H72" s="36"/>
    </x:row>
    <x:row r="73" ht="23" customHeight="1">
      <x:c r="A73" s="36"/>
      <x:c r="B73" s="36"/>
      <x:c r="C73" s="36"/>
      <x:c r="D73" s="36"/>
      <x:c r="E73" s="36"/>
      <x:c r="F73" s="36"/>
      <x:c r="G73" s="36"/>
      <x:c r="H73" s="36"/>
    </x:row>
    <x:row r="74" ht="23" customHeight="1">
      <x:c r="A74" s="36"/>
      <x:c r="B74" s="36"/>
      <x:c r="C74" s="36"/>
      <x:c r="D74" s="36"/>
      <x:c r="E74" s="36"/>
      <x:c r="F74" s="36"/>
      <x:c r="G74" s="36"/>
      <x:c r="H74" s="36"/>
    </x:row>
    <x:row r="75" ht="23" customHeight="1">
      <x:c r="A75" s="36"/>
      <x:c r="B75" s="36"/>
      <x:c r="C75" s="36"/>
      <x:c r="D75" s="36"/>
      <x:c r="E75" s="36"/>
      <x:c r="F75" s="36"/>
      <x:c r="G75" s="36"/>
      <x:c r="H75" s="36"/>
    </x:row>
    <x:row r="76" ht="23" customHeight="1">
      <x:c r="A76" s="36"/>
      <x:c r="B76" s="36"/>
      <x:c r="C76" s="36"/>
      <x:c r="D76" s="36"/>
      <x:c r="E76" s="36"/>
      <x:c r="F76" s="36"/>
      <x:c r="G76" s="36"/>
      <x:c r="H76" s="36"/>
    </x:row>
    <x:row r="77" ht="23" customHeight="1">
      <x:c r="A77" s="36"/>
      <x:c r="B77" s="36"/>
      <x:c r="C77" s="36"/>
      <x:c r="D77" s="36"/>
      <x:c r="E77" s="36"/>
      <x:c r="F77" s="36"/>
      <x:c r="G77" s="36"/>
      <x:c r="H77" s="36"/>
    </x:row>
    <x:row r="78" ht="23" customHeight="1">
      <x:c r="A78" s="36"/>
      <x:c r="B78" s="36"/>
      <x:c r="C78" s="36"/>
      <x:c r="D78" s="36"/>
      <x:c r="E78" s="36"/>
      <x:c r="F78" s="36"/>
      <x:c r="G78" s="36"/>
      <x:c r="H78" s="36"/>
    </x:row>
    <x:row r="79" ht="23" customHeight="1">
      <x:c r="A79" s="36"/>
      <x:c r="B79" s="36"/>
      <x:c r="C79" s="36"/>
      <x:c r="D79" s="36"/>
      <x:c r="E79" s="36"/>
      <x:c r="F79" s="36"/>
      <x:c r="G79" s="36"/>
      <x:c r="H79" s="36"/>
    </x:row>
  </x:sheetData>
  <x:mergeCells>
    <x:mergeCell ref="B8:H8"/>
    <x:mergeCell ref="B14:H14"/>
    <x:mergeCell ref="B16:H16"/>
    <x:mergeCell ref="B17:H17"/>
    <x:mergeCell ref="B18:H18"/>
    <x:mergeCell ref="B19:H19"/>
    <x:mergeCell ref="B20:H20"/>
    <x:mergeCell ref="B34:H34"/>
    <x:mergeCell ref="B42:H42"/>
    <x:mergeCell ref="A45:H45"/>
    <x:mergeCell ref="A46:H46"/>
    <x:mergeCell ref="A47:H47"/>
    <x:mergeCell ref="A48:H48"/>
    <x:mergeCell ref="A49:H49"/>
    <x:mergeCell ref="A50:H50"/>
    <x:mergeCell ref="A51:H51"/>
    <x:mergeCell ref="A52:H52"/>
    <x:mergeCell ref="A53:H53"/>
    <x:mergeCell ref="A54:H54"/>
    <x:mergeCell ref="A55:H55"/>
    <x:mergeCell ref="A56:H56"/>
    <x:mergeCell ref="A57:H57"/>
    <x:mergeCell ref="A58:H58"/>
    <x:mergeCell ref="A59:H59"/>
    <x:mergeCell ref="A60:H60"/>
    <x:mergeCell ref="A2:H2"/>
    <x:mergeCell ref="A3:H3"/>
    <x:mergeCell ref="E24:H24"/>
    <x:mergeCell ref="E25:H25"/>
    <x:mergeCell ref="E26:H26"/>
    <x:mergeCell ref="E29:H29"/>
  </x:mergeCells>
  <x:conditionalFormatting sqref="B42:B42">
    <x:cfRule type="cellIs" dxfId="0" priority="1" operator="notEqual">
      <x:formula>"Ready to issue"</x:formula>
    </x:cfRule>
  </x:conditionalFormatting>
  <x:dataValidations count="3">
    <x:dataValidation type="list" sqref="B5">
      <x:formula1>"1,2,3,4,5"</x:formula1>
    </x:dataValidation>
    <x:dataValidation type="list" sqref="B12:B13">
      <x:formula1>"No,Yes"</x:formula1>
    </x:dataValidation>
    <x:dataValidation type="list" sqref="E10">
      <x:formula1>"Markup,Gross margin"</x:formula1>
    </x:dataValidation>
  </x:dataValidations>
  <x:pageMargins left="0.7" right="0.7" top="0.75" bottom="0.75" header="0.3" footer="0.3"/>
  <x:drawing xmlns:r="http://schemas.openxmlformats.org/officeDocument/2006/relationships" r:id="Re39fe7ee0e334cad"/>
</x:worksheet>
</file>

<file path=xl/worksheets/sheet3.xml><?xml version="1.0" encoding="utf-8"?>
<x:worksheet xmlns:x="http://schemas.openxmlformats.org/spreadsheetml/2006/main">
  <x:sheetPr>
    <x:tabColor rgb="FF2035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9" hidden="0" customWidth="1"/>
    <x:col min="3" max="3" width="29" hidden="0" customWidth="1"/>
    <x:col min="4" max="4" width="12" hidden="0" customWidth="1"/>
    <x:col min="5" max="5" width="12" hidden="0" customWidth="1"/>
    <x:col min="6" max="6" width="12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72" hidden="0" customWidth="1"/>
    <x:col min="15" max="15" width="60" hidden="0" customWidth="1"/>
    <x:col min="16" max="16" width="27" hidden="0" customWidth="1"/>
  </x:cols>
  <x:sheetData>
    <x:row r="1" ht="135" customHeight="1">
      <x:c r="A1" s="36"/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</x:row>
    <x:row r="2" ht="30" customHeight="1">
      <x:c r="A2" s="48" t="str">
        <x:v>Historical base proposals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</x:row>
    <x:row r="3" ht="23" customHeight="1">
      <x:c r="A3" s="36" t="str">
        <x:v>Source snapshots • rates are markups on cost • GST basis retained from the supplied templates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</x:row>
    <x:row r="4" ht="23" customHeight="1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</x:row>
    <x:row r="5" ht="36" customHeight="1">
      <x:c r="A5" s="79" t="str">
        <x:v>No.</x:v>
      </x:c>
      <x:c r="B5" s="79" t="str">
        <x:v>Base name</x:v>
      </x:c>
      <x:c r="C5" s="79" t="str">
        <x:v>Job reference</x:v>
      </x:c>
      <x:c r="D5" s="79" t="str">
        <x:v>Length m</x:v>
      </x:c>
      <x:c r="E5" s="79" t="str">
        <x:v>Span m</x:v>
      </x:c>
      <x:c r="F5" s="79" t="str">
        <x:v>Knee m</x:v>
      </x:c>
      <x:c r="G5" s="79" t="str">
        <x:v>Primary kit</x:v>
      </x:c>
      <x:c r="H5" s="79" t="str">
        <x:v>Secondary kit</x:v>
      </x:c>
      <x:c r="I5" s="79" t="str">
        <x:v>Kit freight</x:v>
      </x:c>
      <x:c r="J5" s="79" t="str">
        <x:v>Markup</x:v>
      </x:c>
      <x:c r="K5" s="79" t="str">
        <x:v>Supplier</x:v>
      </x:c>
      <x:c r="L5" s="79" t="str">
        <x:v>PA freight</x:v>
      </x:c>
      <x:c r="M5" s="79" t="str">
        <x:v>Roller freight</x:v>
      </x:c>
      <x:c r="N5" s="79" t="str">
        <x:v>Source file</x:v>
      </x:c>
      <x:c r="O5" s="79" t="str">
        <x:v>Source cells</x:v>
      </x:c>
      <x:c r="P5" s="79" t="str">
        <x:v>Historical kit sale excl. GST</x:v>
      </x:c>
    </x:row>
    <x:row r="6" ht="23" customHeight="1">
      <x:c r="A6" s="36" t="n">
        <x:v>1</x:v>
      </x:c>
      <x:c r="B6" s="36" t="str">
        <x:v>MILNE 100114</x:v>
      </x:c>
      <x:c r="C6" s="36" t="str">
        <x:v>CYSK 100114</x:v>
      </x:c>
      <x:c r="D6" s="36" t="n">
        <x:v>30</x:v>
      </x:c>
      <x:c r="E6" s="36" t="n">
        <x:v>10</x:v>
      </x:c>
      <x:c r="F6" s="36" t="n">
        <x:v>3.2</x:v>
      </x:c>
      <x:c r="G6" s="41" t="n">
        <x:v>63927.38</x:v>
      </x:c>
      <x:c r="H6" s="41" t="n">
        <x:v>0</x:v>
      </x:c>
      <x:c r="I6" s="41" t="n">
        <x:v>0</x:v>
      </x:c>
      <x:c r="J6" s="61" t="n">
        <x:v>0.47</x:v>
      </x:c>
      <x:c r="K6" s="36" t="str">
        <x:v>F D S </x:v>
      </x:c>
      <x:c r="L6" s="41" t="n">
        <x:v>0</x:v>
      </x:c>
      <x:c r="M6" s="41" t="n">
        <x:v>0</x:v>
      </x:c>
      <x:c r="N6" s="36" t="str">
        <x:v>CONTRACT CYSK 100114 MILNE Kitset Proposal - Slab Site Labour Kitset V3.xlsx</x:v>
      </x:c>
      <x:c r="O6" s="36" t="str">
        <x:v>SUMMARY!H21; D44; C5:E5; freight H22:H24</x:v>
      </x:c>
      <x:c r="P6" s="41" t="n">
        <x:v>93973.2486</x:v>
      </x:c>
    </x:row>
    <x:row r="7" ht="23" customHeight="1">
      <x:c r="A7" s="36" t="n">
        <x:v>2</x:v>
      </x:c>
      <x:c r="B7" s="36" t="str">
        <x:v>RAMSAY 100123 – Kitset</x:v>
      </x:c>
      <x:c r="C7" s="36" t="str">
        <x:v>CYSK 100123</x:v>
      </x:c>
      <x:c r="D7" s="36" t="n">
        <x:v>30.5</x:v>
      </x:c>
      <x:c r="E7" s="36" t="n">
        <x:v>10</x:v>
      </x:c>
      <x:c r="F7" s="36" t="n">
        <x:v>3.2</x:v>
      </x:c>
      <x:c r="G7" s="41" t="n">
        <x:v>80518.76</x:v>
      </x:c>
      <x:c r="H7" s="41" t="n">
        <x:v>0</x:v>
      </x:c>
      <x:c r="I7" s="41" t="n">
        <x:v>0</x:v>
      </x:c>
      <x:c r="J7" s="61" t="n">
        <x:v>0.45</x:v>
      </x:c>
      <x:c r="K7" s="36" t="str">
        <x:v>F D S </x:v>
      </x:c>
      <x:c r="L7" s="41" t="n">
        <x:v>0</x:v>
      </x:c>
      <x:c r="M7" s="41" t="n">
        <x:v>0</x:v>
      </x:c>
      <x:c r="N7" s="36" t="str">
        <x:v>CYSK 100123 RAMSAY Kitset Proposal - Kitset 10M x 30.5M 22 deg.xlsx</x:v>
      </x:c>
      <x:c r="O7" s="36" t="str">
        <x:v>SUMMARY!H21; D41; C5:E5; freight H22:H24</x:v>
      </x:c>
      <x:c r="P7" s="41" t="n">
        <x:v>116752.202</x:v>
      </x:c>
    </x:row>
    <x:row r="8" ht="23" customHeight="1">
      <x:c r="A8" s="36" t="n">
        <x:v>3</x:v>
      </x:c>
      <x:c r="B8" s="36" t="str">
        <x:v>RAMSAY 100123 – Full</x:v>
      </x:c>
      <x:c r="C8" s="36" t="str">
        <x:v>CYSK 100123</x:v>
      </x:c>
      <x:c r="D8" s="36" t="n">
        <x:v>30.5</x:v>
      </x:c>
      <x:c r="E8" s="36" t="n">
        <x:v>10</x:v>
      </x:c>
      <x:c r="F8" s="36" t="n">
        <x:v>3.2</x:v>
      </x:c>
      <x:c r="G8" s="41" t="n">
        <x:v>89125.42</x:v>
      </x:c>
      <x:c r="H8" s="41" t="n">
        <x:v>0</x:v>
      </x:c>
      <x:c r="I8" s="41" t="n">
        <x:v>0</x:v>
      </x:c>
      <x:c r="J8" s="61" t="n">
        <x:v>0.35</x:v>
      </x:c>
      <x:c r="K8" s="36" t="str">
        <x:v>F D S </x:v>
      </x:c>
      <x:c r="L8" s="41" t="n">
        <x:v>0</x:v>
      </x:c>
      <x:c r="M8" s="41" t="n">
        <x:v>0</x:v>
      </x:c>
      <x:c r="N8" s="36" t="str">
        <x:v>CYSK 100123 RAMSAY Kitset Proposal - Slab Site Labour Kitset 10M x 30.5M 22 deg.xlsx</x:v>
      </x:c>
      <x:c r="O8" s="36" t="str">
        <x:v>SUMMARY!H21; D41; C5:E5; freight H22:H24</x:v>
      </x:c>
      <x:c r="P8" s="41" t="n">
        <x:v>120319.317</x:v>
      </x:c>
    </x:row>
    <x:row r="9" ht="23" customHeight="1">
      <x:c r="A9" s="36" t="n">
        <x:v>4</x:v>
      </x:c>
      <x:c r="B9" s="36" t="str">
        <x:v>LANG 100129</x:v>
      </x:c>
      <x:c r="C9" s="36" t="str">
        <x:v>CYSK 100129</x:v>
      </x:c>
      <x:c r="D9" s="36" t="n">
        <x:v>35</x:v>
      </x:c>
      <x:c r="E9" s="36" t="n">
        <x:v>12</x:v>
      </x:c>
      <x:c r="F9" s="36" t="n">
        <x:v>3.6</x:v>
      </x:c>
      <x:c r="G9" s="41" t="n">
        <x:v>82867.99</x:v>
      </x:c>
      <x:c r="H9" s="41" t="n">
        <x:v>65254</x:v>
      </x:c>
      <x:c r="I9" s="41" t="n">
        <x:v>0</x:v>
      </x:c>
      <x:c r="J9" s="61" t="n">
        <x:v>0.25</x:v>
      </x:c>
      <x:c r="K9" s="36" t="str">
        <x:v>Cyclone Buildings</x:v>
      </x:c>
      <x:c r="L9" s="41" t="n">
        <x:v>0</x:v>
      </x:c>
      <x:c r="M9" s="41" t="n">
        <x:v>0</x:v>
      </x:c>
      <x:c r="N9" s="36" t="str">
        <x:v>CYSK 100129 Lang Kitset Proposal - Slab Site Labour Kitset.xlsx</x:v>
      </x:c>
      <x:c r="O9" s="36" t="str">
        <x:v>SUMMARY!H21, H22; D44; C5:E5; freight H23:H25</x:v>
      </x:c>
      <x:c r="P9" s="41" t="n">
        <x:v>185152.4875</x:v>
      </x:c>
    </x:row>
    <x:row r="10" ht="23" customHeight="1">
      <x:c r="A10" s="36" t="n">
        <x:v>5</x:v>
      </x:c>
      <x:c r="B10" s="36" t="str">
        <x:v>LANG 100130</x:v>
      </x:c>
      <x:c r="C10" s="36" t="str">
        <x:v>CYSK 100130</x:v>
      </x:c>
      <x:c r="D10" s="36" t="n">
        <x:v>25.1</x:v>
      </x:c>
      <x:c r="E10" s="36" t="n">
        <x:v>18</x:v>
      </x:c>
      <x:c r="F10" s="36" t="n">
        <x:v>3.6</x:v>
      </x:c>
      <x:c r="G10" s="41" t="n">
        <x:v>79465.17</x:v>
      </x:c>
      <x:c r="H10" s="41" t="n">
        <x:v>42728.46</x:v>
      </x:c>
      <x:c r="I10" s="41" t="n">
        <x:v>0</x:v>
      </x:c>
      <x:c r="J10" s="61" t="n">
        <x:v>0.3</x:v>
      </x:c>
      <x:c r="K10" s="36" t="str">
        <x:v>Cyclone Buildings</x:v>
      </x:c>
      <x:c r="L10" s="41" t="n">
        <x:v>0</x:v>
      </x:c>
      <x:c r="M10" s="41" t="n">
        <x:v>0</x:v>
      </x:c>
      <x:c r="N10" s="36" t="str">
        <x:v>CYSK 100130 Lang Kitset Proposal - Slab Site Labour Kitset.xlsx</x:v>
      </x:c>
      <x:c r="O10" s="36" t="str">
        <x:v>SUMMARY!H21, H22; D44; C5:E5; freight H23:H25</x:v>
      </x:c>
      <x:c r="P10" s="41" t="n">
        <x:v>158851.719</x:v>
      </x:c>
    </x:row>
    <x:row r="11" ht="23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</x:row>
    <x:row r="12" ht="23" customHeight="1">
      <x:c r="A12" s="36" t="str">
        <x:v>Source review</x:v>
      </x:c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</x:row>
    <x:row r="13" ht="23" customHeight="1">
      <x:c r="A13" s="36" t="str">
        <x:v>The old Price list is labelled “Updated 1/09/10”; it is not used as a current supplier rate card.</x:v>
      </x:c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</x:row>
    <x:row r="14" ht="23" customHeight="1">
      <x:c r="A14" s="36" t="str">
        <x:v>Source formulas contain existing #REF! references in Materials List. This system uses the explicit kit cost and markup inputs.</x:v>
      </x:c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</x:row>
    <x:row r="15" ht="23" customHeight="1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</x:row>
  </x:sheetData>
  <x:mergeCells>
    <x:mergeCell ref="A3:P3"/>
    <x:mergeCell ref="A12:P12"/>
    <x:mergeCell ref="A13:P13"/>
    <x:mergeCell ref="A14:P14"/>
    <x:mergeCell ref="A2:P2"/>
  </x:mergeCells>
  <x:pageMargins left="0.7" right="0.7" top="0.75" bottom="0.75" header="0.3" footer="0.3"/>
  <x:drawing xmlns:r="http://schemas.openxmlformats.org/officeDocument/2006/relationships" r:id="Ra4b4785b3f5f41c9"/>
</x:worksheet>
</file>

<file path=xl/worksheets/sheet4.xml><?xml version="1.0" encoding="utf-8"?>
<x:worksheet xmlns:x="http://schemas.openxmlformats.org/spreadsheetml/2006/main">
  <x:sheetPr>
    <x:tabColor rgb="FF2035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60" hidden="0" customWidth="1"/>
    <x:col min="3" max="3" width="17" hidden="0" customWidth="1"/>
    <x:col min="4" max="4" width="4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35" customHeight="1">
      <x:c r="A1" s="36"/>
      <x:c r="B1" s="36"/>
      <x:c r="C1" s="36"/>
      <x:c r="D1" s="36"/>
    </x:row>
    <x:row r="2" ht="30" customHeight="1">
      <x:c r="A2" s="48" t="str">
        <x:v>SHP | Pricing transfer fields</x:v>
      </x:c>
      <x:c r="B2" s="49"/>
      <x:c r="C2" s="49"/>
      <x:c r="D2" s="49"/>
    </x:row>
    <x:row r="3" ht="25" customHeight="1">
      <x:c r="A3" s="36" t="str">
        <x:v>Schema 1.0 • field keys are shared by both workbooks; SHP import mapping remains to be agreed.</x:v>
      </x:c>
      <x:c r="B3" s="36"/>
      <x:c r="C3" s="36"/>
      <x:c r="D3" s="36"/>
    </x:row>
    <x:row r="4" ht="25" customHeight="1">
      <x:c r="A4" s="36"/>
      <x:c r="B4" s="36"/>
      <x:c r="C4" s="36"/>
      <x:c r="D4" s="36"/>
    </x:row>
    <x:row r="5" ht="28" customHeight="1">
      <x:c r="A5" s="45" t="str">
        <x:v>Field key</x:v>
      </x:c>
      <x:c r="B5" s="45" t="str">
        <x:v>Value</x:v>
      </x:c>
      <x:c r="C5" s="45" t="str">
        <x:v>Unit / type</x:v>
      </x:c>
      <x:c r="D5" s="45" t="str">
        <x:v>Meaning</x:v>
      </x:c>
    </x:row>
    <x:row r="6" ht="25" customHeight="1">
      <x:c r="A6" s="36" t="str">
        <x:v>schema_version</x:v>
      </x:c>
      <x:c r="B6" s="36" t="str">
        <x:v>1.0</x:v>
      </x:c>
      <x:c r="C6" s="36" t="str">
        <x:v>text</x:v>
      </x:c>
      <x:c r="D6" s="36" t="str">
        <x:v>Shared transfer schema</x:v>
      </x:c>
    </x:row>
    <x:row r="7" ht="25" customHeight="1">
      <x:c r="A7" s="36" t="str">
        <x:v>pricing_variant</x:v>
      </x:c>
      <x:c r="B7" s="36" t="str">
        <x:v>KIT_ONLY</x:v>
      </x:c>
      <x:c r="C7" s="36" t="str">
        <x:v>text</x:v>
      </x:c>
      <x:c r="D7" s="36" t="str">
        <x:v>KIT_ONLY or KIT_PLUS_WORK</x:v>
      </x:c>
    </x:row>
    <x:row r="8" ht="25" customHeight="1">
      <x:c r="A8" s="36" t="str">
        <x:v>quote_reference</x:v>
      </x:c>
      <x:c r="B8" s="36" t="str">
        <x:f>IF('SH Pricing'!B9="","",'SH Pricing'!B9)</x:f>
      </x:c>
      <x:c r="C8" s="36" t="str">
        <x:v>text</x:v>
      </x:c>
      <x:c r="D8" s="36" t="str">
        <x:v>SH quote ID</x:v>
      </x:c>
    </x:row>
    <x:row r="9" ht="25" customHeight="1">
      <x:c r="A9" s="36" t="str">
        <x:v>customer_name</x:v>
      </x:c>
      <x:c r="B9" s="36" t="str">
        <x:f>IF('SH Pricing'!B7="","",'SH Pricing'!B7)</x:f>
      </x:c>
      <x:c r="C9" s="36" t="str">
        <x:v>text</x:v>
      </x:c>
      <x:c r="D9" s="36" t="str">
        <x:v>Customer</x:v>
      </x:c>
    </x:row>
    <x:row r="10" ht="25" customHeight="1">
      <x:c r="A10" s="36" t="str">
        <x:v>site_address</x:v>
      </x:c>
      <x:c r="B10" s="36" t="str">
        <x:f>IF('SH Pricing'!B8="","",'SH Pricing'!B8)</x:f>
      </x:c>
      <x:c r="C10" s="36" t="str">
        <x:v>text</x:v>
      </x:c>
      <x:c r="D10" s="36" t="str">
        <x:v>Project site</x:v>
      </x:c>
    </x:row>
    <x:row r="11" ht="25" customHeight="1">
      <x:c r="A11" s="36" t="str">
        <x:v>quote_date</x:v>
      </x:c>
      <x:c r="B11" s="38" t="n">
        <x:f>IF('SH Pricing'!B10="","",'SH Pricing'!B10)</x:f>
        <x:v>46310</x:v>
      </x:c>
      <x:c r="C11" s="36" t="str">
        <x:v>date</x:v>
      </x:c>
      <x:c r="D11" s="36" t="str">
        <x:v>Quote date</x:v>
      </x:c>
    </x:row>
    <x:row r="12" ht="25" customHeight="1">
      <x:c r="A12" s="36" t="str">
        <x:v>valid_until</x:v>
      </x:c>
      <x:c r="B12" s="38" t="str">
        <x:f>IF('SH Pricing'!B11="","",'SH Pricing'!B11)</x:f>
      </x:c>
      <x:c r="C12" s="36" t="str">
        <x:v>date</x:v>
      </x:c>
      <x:c r="D12" s="36" t="str">
        <x:v>Validity date</x:v>
      </x:c>
    </x:row>
    <x:row r="13" ht="25" customHeight="1">
      <x:c r="A13" s="36" t="str">
        <x:v>base_number</x:v>
      </x:c>
      <x:c r="B13" s="36" t="n">
        <x:f>'SH Pricing'!B5</x:f>
        <x:v>1</x:v>
      </x:c>
      <x:c r="C13" s="36" t="str">
        <x:v>integer</x:v>
      </x:c>
      <x:c r="D13" s="36" t="str">
        <x:v>Historical base</x:v>
      </x:c>
    </x:row>
    <x:row r="14" ht="25" customHeight="1">
      <x:c r="A14" s="36" t="str">
        <x:v>specification</x:v>
      </x:c>
      <x:c r="B14" s="36" t="str">
        <x:f>IF('SH Pricing'!B16="","",'SH Pricing'!B16)</x:f>
      </x:c>
      <x:c r="C14" s="36" t="str">
        <x:v>text</x:v>
      </x:c>
      <x:c r="D14" s="36" t="str">
        <x:v>Exact specification</x:v>
      </x:c>
    </x:row>
    <x:row r="15" ht="25" customHeight="1">
      <x:c r="A15" s="36" t="str">
        <x:v>supplier_quote_reference</x:v>
      </x:c>
      <x:c r="B15" s="36" t="str">
        <x:f>IF('SH Pricing'!B14="","",'SH Pricing'!B14)</x:f>
      </x:c>
      <x:c r="C15" s="36" t="str">
        <x:v>text</x:v>
      </x:c>
      <x:c r="D15" s="36" t="str">
        <x:v>Supplier quotation</x:v>
      </x:c>
    </x:row>
    <x:row r="16" ht="25" customHeight="1">
      <x:c r="A16" s="36" t="str">
        <x:v>currency</x:v>
      </x:c>
      <x:c r="B16" s="36" t="str">
        <x:v>NZD</x:v>
      </x:c>
      <x:c r="C16" s="36" t="str">
        <x:v>text</x:v>
      </x:c>
      <x:c r="D16" s="36" t="str">
        <x:v>Currency</x:v>
      </x:c>
    </x:row>
    <x:row r="17" ht="25" customHeight="1">
      <x:c r="A17" s="36" t="str">
        <x:v>issue_status</x:v>
      </x:c>
      <x:c r="B17" s="36" t="str">
        <x:f>IF('SH Pricing'!B42="","",'SH Pricing'!B42)</x:f>
        <x:v>Enter customer, site and quote reference</x:v>
      </x:c>
      <x:c r="C17" s="36" t="str">
        <x:v>text</x:v>
      </x:c>
      <x:c r="D17" s="36" t="str">
        <x:v>Must be Ready to issue</x:v>
      </x:c>
    </x:row>
    <x:row r="18" ht="25" customHeight="1">
      <x:c r="A18" s="36" t="str">
        <x:v>kit_cost_ex_gst</x:v>
      </x:c>
      <x:c r="B18" s="41" t="n">
        <x:f>'SH Pricing'!D32</x:f>
        <x:v>63927.38</x:v>
      </x:c>
      <x:c r="C18" s="36" t="str">
        <x:v>NZD</x:v>
      </x:c>
      <x:c r="D18" s="36" t="str">
        <x:v>Active supply cost</x:v>
      </x:c>
    </x:row>
    <x:row r="19" ht="25" customHeight="1">
      <x:c r="A19" s="36" t="str">
        <x:v>kit_sale_ex_gst</x:v>
      </x:c>
      <x:c r="B19" s="41" t="n">
        <x:f>'SH Pricing'!F38</x:f>
        <x:v>93973.25</x:v>
      </x:c>
      <x:c r="C19" s="36" t="str">
        <x:v>NZD</x:v>
      </x:c>
      <x:c r="D19" s="36" t="str">
        <x:v>Kit selling price</x:v>
      </x:c>
    </x:row>
    <x:row r="20" ht="25" customHeight="1">
      <x:c r="A20" s="36" t="str">
        <x:v>gst_rate</x:v>
      </x:c>
      <x:c r="B20" s="61" t="n">
        <x:f>'SH Pricing'!E13</x:f>
        <x:v>0.15</x:v>
      </x:c>
      <x:c r="C20" s="36" t="str">
        <x:v>rate</x:v>
      </x:c>
      <x:c r="D20" s="36" t="str">
        <x:v>GST assumption</x:v>
      </x:c>
    </x:row>
    <x:row r="21" ht="25" customHeight="1">
      <x:c r="A21" s="36" t="str">
        <x:v>slab_sale_ex_gst</x:v>
      </x:c>
      <x:c r="B21" s="41" t="n">
        <x:v>0</x:v>
      </x:c>
      <x:c r="C21" s="36" t="str">
        <x:v>NZD</x:v>
      </x:c>
      <x:c r="D21" s="36" t="str">
        <x:v>Slab supply and installation</x:v>
      </x:c>
    </x:row>
    <x:row r="22" ht="25" customHeight="1">
      <x:c r="A22" s="36" t="str">
        <x:v>site_sale_ex_gst</x:v>
      </x:c>
      <x:c r="B22" s="41" t="n">
        <x:v>0</x:v>
      </x:c>
      <x:c r="C22" s="36" t="str">
        <x:v>NZD</x:v>
      </x:c>
      <x:c r="D22" s="36" t="str">
        <x:v>Earthworks and site preparation</x:v>
      </x:c>
    </x:row>
    <x:row r="23" ht="25" customHeight="1">
      <x:c r="A23" s="36" t="str">
        <x:v>erection_sale_ex_gst</x:v>
      </x:c>
      <x:c r="B23" s="41" t="n">
        <x:v>0</x:v>
      </x:c>
      <x:c r="C23" s="36" t="str">
        <x:v>NZD</x:v>
      </x:c>
      <x:c r="D23" s="36" t="str">
        <x:v>Kit-set erection</x:v>
      </x:c>
    </x:row>
    <x:row r="24" ht="25" customHeight="1">
      <x:c r="A24" s="36" t="str">
        <x:v>prelims_sale_ex_gst</x:v>
      </x:c>
      <x:c r="B24" s="41" t="n">
        <x:v>0</x:v>
      </x:c>
      <x:c r="C24" s="36" t="str">
        <x:v>NZD</x:v>
      </x:c>
      <x:c r="D24" s="36" t="str">
        <x:v>Preliminary and general</x:v>
      </x:c>
    </x:row>
    <x:row r="25" ht="25" customHeight="1">
      <x:c r="A25" s="36" t="str">
        <x:v>consent_sale_ex_gst</x:v>
      </x:c>
      <x:c r="B25" s="41" t="n">
        <x:v>0</x:v>
      </x:c>
      <x:c r="C25" s="36" t="str">
        <x:v>NZD</x:v>
      </x:c>
      <x:c r="D25" s="36" t="str">
        <x:v>Consent fees</x:v>
      </x:c>
    </x:row>
    <x:row r="26" ht="25" customHeight="1">
      <x:c r="A26" s="36" t="str">
        <x:v>engineering_sale_ex_gst</x:v>
      </x:c>
      <x:c r="B26" s="41" t="n">
        <x:v>0</x:v>
      </x:c>
      <x:c r="C26" s="36" t="str">
        <x:v>NZD</x:v>
      </x:c>
      <x:c r="D26" s="36" t="str">
        <x:v>Engineering and inspections</x:v>
      </x:c>
    </x:row>
    <x:row r="27" ht="25" customHeight="1">
      <x:c r="A27" s="36" t="str">
        <x:v>other1_sale_ex_gst</x:v>
      </x:c>
      <x:c r="B27" s="41" t="n">
        <x:v>0</x:v>
      </x:c>
      <x:c r="C27" s="36" t="str">
        <x:v>NZD</x:v>
      </x:c>
      <x:c r="D27" s="36" t="str">
        <x:v>Other work 1</x:v>
      </x:c>
    </x:row>
    <x:row r="28" ht="25" customHeight="1">
      <x:c r="A28" s="36" t="str">
        <x:v>other2_sale_ex_gst</x:v>
      </x:c>
      <x:c r="B28" s="41" t="n">
        <x:v>0</x:v>
      </x:c>
      <x:c r="C28" s="36" t="str">
        <x:v>NZD</x:v>
      </x:c>
      <x:c r="D28" s="36" t="str">
        <x:v>Other work 2</x:v>
      </x:c>
    </x:row>
    <x:row r="29" ht="25" customHeight="1">
      <x:c r="A29" s="36" t="str">
        <x:v>total_ex_gst</x:v>
      </x:c>
      <x:c r="B29" s="41" t="n">
        <x:f>'SH Pricing'!F38</x:f>
        <x:v>93973.25</x:v>
      </x:c>
      <x:c r="C29" s="36" t="str">
        <x:v>NZD</x:v>
      </x:c>
      <x:c r="D29" s="36" t="str">
        <x:v>Quote subtotal</x:v>
      </x:c>
    </x:row>
    <x:row r="30" ht="25" customHeight="1">
      <x:c r="A30" s="36" t="str">
        <x:v>gst_amount</x:v>
      </x:c>
      <x:c r="B30" s="41" t="n">
        <x:f>'SH Pricing'!F39</x:f>
        <x:v>14095.99</x:v>
      </x:c>
      <x:c r="C30" s="36" t="str">
        <x:v>NZD</x:v>
      </x:c>
      <x:c r="D30" s="36" t="str">
        <x:v>GST</x:v>
      </x:c>
    </x:row>
    <x:row r="31" ht="25" customHeight="1">
      <x:c r="A31" s="36" t="str">
        <x:v>total_inc_gst</x:v>
      </x:c>
      <x:c r="B31" s="41" t="n">
        <x:f>'SH Pricing'!F40</x:f>
        <x:v>108069.24</x:v>
      </x:c>
      <x:c r="C31" s="36" t="str">
        <x:v>NZD</x:v>
      </x:c>
      <x:c r="D31" s="36" t="str">
        <x:v>Customer total</x:v>
      </x:c>
    </x:row>
    <x:row r="32" ht="25" customHeight="1">
      <x:c r="A32" s="36"/>
      <x:c r="B32" s="36"/>
      <x:c r="C32" s="36"/>
      <x:c r="D32" s="36"/>
    </x:row>
    <x:row r="33" ht="25" customHeight="1">
      <x:c r="A33" s="36"/>
      <x:c r="B33" s="36"/>
      <x:c r="C33" s="36"/>
      <x:c r="D33" s="36"/>
    </x:row>
    <x:row r="34" ht="25" customHeight="1">
      <x:c r="A34" s="36"/>
      <x:c r="B34" s="36"/>
      <x:c r="C34" s="36"/>
      <x:c r="D34" s="36"/>
    </x:row>
    <x:row r="35" ht="25" customHeight="1">
      <x:c r="A35" s="36"/>
      <x:c r="B35" s="36"/>
      <x:c r="C35" s="36"/>
      <x:c r="D35" s="36"/>
    </x:row>
    <x:row r="36" ht="25" customHeight="1">
      <x:c r="A36" s="36"/>
      <x:c r="B36" s="36"/>
      <x:c r="C36" s="36"/>
      <x:c r="D36" s="36"/>
    </x:row>
    <x:row r="37" ht="25" customHeight="1">
      <x:c r="A37" s="36"/>
      <x:c r="B37" s="36"/>
      <x:c r="C37" s="36"/>
      <x:c r="D37" s="36"/>
    </x:row>
    <x:row r="38" ht="25" customHeight="1">
      <x:c r="A38" s="36"/>
      <x:c r="B38" s="36"/>
      <x:c r="C38" s="36"/>
      <x:c r="D38" s="36"/>
    </x:row>
  </x:sheetData>
  <x:mergeCells>
    <x:mergeCell ref="A2:D2"/>
    <x:mergeCell ref="A3:D3"/>
  </x:mergeCells>
  <x:pageMargins left="0.7" right="0.7" top="0.75" bottom="0.75" header="0.3" footer="0.3"/>
  <x:drawing xmlns:r="http://schemas.openxmlformats.org/officeDocument/2006/relationships" r:id="R6b8eb22b98434e62"/>
</x:worksheet>
</file>

<file path=xl/worksheets/sheet5.xml><?xml version="1.0" encoding="utf-8"?>
<x:worksheet xmlns:x="http://schemas.openxmlformats.org/spreadsheetml/2006/main">
  <x:sheetPr>
    <x:tabColor rgb="FFF3EBE1"/>
  </x:sheetPr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135" customHeight="1">
      <x:c r="A1" s="36"/>
      <x:c r="B1" s="36"/>
      <x:c r="C1" s="36"/>
      <x:c r="D1" s="36"/>
      <x:c r="E1" s="36"/>
      <x:c r="F1" s="36"/>
    </x:row>
    <x:row r="2" ht="27" customHeight="1">
      <x:c r="A2" s="48" t="str">
        <x:v>Shed House | Spreadsheet brand guide</x:v>
      </x:c>
      <x:c r="B2" s="49"/>
      <x:c r="C2" s="49"/>
      <x:c r="D2" s="49"/>
      <x:c r="E2" s="49"/>
      <x:c r="F2" s="49"/>
    </x:row>
    <x:row r="3" ht="27" customHeight="1">
      <x:c r="A3" s="36"/>
      <x:c r="B3" s="36"/>
      <x:c r="C3" s="36"/>
      <x:c r="D3" s="36"/>
      <x:c r="E3" s="36"/>
      <x:c r="F3" s="36"/>
    </x:row>
    <x:row r="4" ht="27" customHeight="1">
      <x:c r="A4" s="36" t="str">
        <x:v>Brand colours</x:v>
      </x:c>
      <x:c r="B4" s="39" t="str">
        <x:v>HEX values from the supplied Shed House brand guidelines.</x:v>
      </x:c>
      <x:c r="C4" s="39"/>
      <x:c r="D4" s="39"/>
      <x:c r="E4" s="39"/>
      <x:c r="F4" s="39"/>
    </x:row>
    <x:row r="5" ht="27" customHeight="1">
      <x:c r="A5" s="36"/>
      <x:c r="B5" s="36"/>
      <x:c r="C5" s="36"/>
      <x:c r="D5" s="36"/>
      <x:c r="E5" s="36"/>
      <x:c r="F5" s="36"/>
    </x:row>
    <x:row r="6" ht="27" customHeight="1">
      <x:c r="A6" s="36" t="str">
        <x:v>Dark turquoise</x:v>
      </x:c>
      <x:c r="B6" s="36" t="str">
        <x:v>#20353C</x:v>
      </x:c>
      <x:c r="C6" s="81"/>
      <x:c r="D6" s="81"/>
      <x:c r="E6" s="81"/>
      <x:c r="F6" s="81"/>
    </x:row>
    <x:row r="7" ht="27" customHeight="1">
      <x:c r="A7" s="36" t="str">
        <x:v>Construction yellow</x:v>
      </x:c>
      <x:c r="B7" s="36" t="str">
        <x:v>#FAA21F</x:v>
      </x:c>
      <x:c r="C7" s="82"/>
      <x:c r="D7" s="82"/>
      <x:c r="E7" s="82"/>
      <x:c r="F7" s="82"/>
    </x:row>
    <x:row r="8" ht="27" customHeight="1">
      <x:c r="A8" s="36" t="str">
        <x:v>Linen</x:v>
      </x:c>
      <x:c r="B8" s="36" t="str">
        <x:v>#F3EBE1</x:v>
      </x:c>
      <x:c r="C8" s="66"/>
      <x:c r="D8" s="66"/>
      <x:c r="E8" s="66"/>
      <x:c r="F8" s="66"/>
    </x:row>
    <x:row r="9" ht="27" customHeight="1">
      <x:c r="A9" s="36"/>
      <x:c r="B9" s="36"/>
      <x:c r="C9" s="36"/>
      <x:c r="D9" s="36"/>
      <x:c r="E9" s="36"/>
      <x:c r="F9" s="36"/>
    </x:row>
    <x:row r="10" ht="42" customHeight="1">
      <x:c r="A10" s="36" t="str">
        <x:v>Typography</x:v>
      </x:c>
      <x:c r="B10" s="39" t="str">
        <x:v>Kit Sans is the primary brand typeface. These workbooks specify Work Sans, the approved alternative.</x:v>
      </x:c>
      <x:c r="C10" s="39"/>
      <x:c r="D10" s="39"/>
      <x:c r="E10" s="39"/>
      <x:c r="F10" s="39"/>
    </x:row>
    <x:row r="11" ht="42" customHeight="1">
      <x:c r="A11" s="36" t="str">
        <x:v>Font availability</x:v>
      </x:c>
      <x:c r="B11" s="39" t="str">
        <x:v>Work Sans is not embedded in XLSX. Install or activate it locally to prevent Excel substituting a system font.</x:v>
      </x:c>
      <x:c r="C11" s="39"/>
      <x:c r="D11" s="39"/>
      <x:c r="E11" s="39"/>
      <x:c r="F11" s="39"/>
    </x:row>
    <x:row r="12" ht="27" customHeight="1">
      <x:c r="A12" s="36"/>
      <x:c r="B12" s="36"/>
      <x:c r="C12" s="36"/>
      <x:c r="D12" s="36"/>
      <x:c r="E12" s="36"/>
      <x:c r="F12" s="36"/>
    </x:row>
    <x:row r="13" ht="42" customHeight="1">
      <x:c r="A13" s="36" t="str">
        <x:v>Logo</x:v>
      </x:c>
      <x:c r="B13" s="39" t="str">
        <x:v>Use the supplied primary logo. Keep proportions, colours, orientation and all logo elements intact.</x:v>
      </x:c>
      <x:c r="C13" s="39"/>
      <x:c r="D13" s="39"/>
      <x:c r="E13" s="39"/>
      <x:c r="F13" s="39"/>
    </x:row>
    <x:row r="14" ht="42" customHeight="1">
      <x:c r="A14" s="36" t="str">
        <x:v>Clear space</x:v>
      </x:c>
      <x:c r="B14" s="39" t="str">
        <x:v>Preserve the supplied logo asset margins. Do not place text, borders or other objects inside its clear space.</x:v>
      </x:c>
      <x:c r="C14" s="39"/>
      <x:c r="D14" s="39"/>
      <x:c r="E14" s="39"/>
      <x:c r="F14" s="39"/>
    </x:row>
    <x:row r="15" ht="42" customHeight="1">
      <x:c r="A15" s="36" t="str">
        <x:v>Minimum size</x:v>
      </x:c>
      <x:c r="B15" s="39" t="str">
        <x:v>The guideline specifies 50 px / 20 mm logo height. Check the final PDF or print scale before issuing.</x:v>
      </x:c>
      <x:c r="C15" s="39"/>
      <x:c r="D15" s="39"/>
      <x:c r="E15" s="39"/>
      <x:c r="F15" s="39"/>
    </x:row>
    <x:row r="16" ht="27" customHeight="1">
      <x:c r="A16" s="36"/>
      <x:c r="B16" s="36"/>
      <x:c r="C16" s="36"/>
      <x:c r="D16" s="36"/>
      <x:c r="E16" s="36"/>
      <x:c r="F16" s="36"/>
    </x:row>
    <x:row r="17" ht="42" customHeight="1">
      <x:c r="A17" s="36" t="str">
        <x:v>Workbook styling</x:v>
      </x:c>
      <x:c r="B17" s="39" t="str">
        <x:v>Dark turquoise headers, construction yellow accents and linen editable cells. White space keeps pricing legible.</x:v>
      </x:c>
      <x:c r="C17" s="39"/>
      <x:c r="D17" s="39"/>
      <x:c r="E17" s="39"/>
      <x:c r="F17" s="39"/>
    </x:row>
    <x:row r="18" ht="42" customHeight="1">
      <x:c r="A18" s="36" t="str">
        <x:v>Logo format</x:v>
      </x:c>
      <x:c r="B18" s="39" t="str">
        <x:v>The supplied RGB transparent PNG is embedded for on-screen spreadsheets and PDF export.</x:v>
      </x:c>
      <x:c r="C18" s="39"/>
      <x:c r="D18" s="39"/>
      <x:c r="E18" s="39"/>
      <x:c r="F18" s="39"/>
    </x:row>
    <x:row r="19" ht="27" customHeight="1">
      <x:c r="A19" s="36"/>
      <x:c r="B19" s="36"/>
      <x:c r="C19" s="36"/>
      <x:c r="D19" s="36"/>
      <x:c r="E19" s="36"/>
      <x:c r="F19" s="36"/>
    </x:row>
    <x:row r="20" ht="42" customHeight="1">
      <x:c r="A20" s="36" t="str">
        <x:v>Source documents</x:v>
      </x:c>
      <x:c r="B20" s="39" t="str">
        <x:v>Shed House Branding Guidlines.pdf, pages 7–13; Using Your New Logo.pdf, pages 2–4.</x:v>
      </x:c>
      <x:c r="C20" s="39"/>
      <x:c r="D20" s="39"/>
      <x:c r="E20" s="39"/>
      <x:c r="F20" s="39"/>
    </x:row>
    <x:row r="21" ht="27" customHeight="1">
      <x:c r="A21" s="36" t="str">
        <x:v>Font source</x:v>
      </x:c>
      <x:c r="B21" s="39" t="str">
        <x:v>Fonts / Fonts READ ME.txt identifies Work Sans as the alternative to Kit Sans.</x:v>
      </x:c>
      <x:c r="C21" s="39"/>
      <x:c r="D21" s="39"/>
      <x:c r="E21" s="39"/>
      <x:c r="F21" s="39"/>
    </x:row>
    <x:row r="22" ht="27" customHeight="1">
      <x:c r="A22" s="36"/>
      <x:c r="B22" s="36"/>
      <x:c r="C22" s="36"/>
      <x:c r="D22" s="36"/>
      <x:c r="E22" s="36"/>
      <x:c r="F22" s="36"/>
    </x:row>
    <x:row r="23" ht="42" customHeight="1">
      <x:c r="A23" s="36" t="str">
        <x:v>Customer documents</x:v>
      </x:c>
      <x:c r="B23" s="39" t="str">
        <x:v>Export Customer Quote only. Internal costs, pricing controls and SHP transfer fields remain for SH use.</x:v>
      </x:c>
      <x:c r="C23" s="39"/>
      <x:c r="D23" s="39"/>
      <x:c r="E23" s="39"/>
      <x:c r="F23" s="39"/>
    </x:row>
    <x:row r="24" ht="27" customHeight="1">
      <x:c r="A24" s="36"/>
      <x:c r="B24" s="36"/>
      <x:c r="C24" s="36"/>
      <x:c r="D24" s="36"/>
      <x:c r="E24" s="36"/>
      <x:c r="F24" s="36"/>
    </x:row>
    <x:row r="25" ht="27" customHeight="1">
      <x:c r="A25" s="36"/>
      <x:c r="B25" s="36"/>
      <x:c r="C25" s="36"/>
      <x:c r="D25" s="36"/>
      <x:c r="E25" s="36"/>
      <x:c r="F25" s="36"/>
    </x:row>
  </x:sheetData>
  <x:mergeCells>
    <x:mergeCell ref="A2:F2"/>
    <x:mergeCell ref="B4:F4"/>
    <x:mergeCell ref="C6:F6"/>
    <x:mergeCell ref="C7:F7"/>
    <x:mergeCell ref="C8:F8"/>
    <x:mergeCell ref="B10:F10"/>
    <x:mergeCell ref="B11:F11"/>
    <x:mergeCell ref="B13:F13"/>
    <x:mergeCell ref="B14:F14"/>
    <x:mergeCell ref="B15:F15"/>
    <x:mergeCell ref="B17:F17"/>
    <x:mergeCell ref="B18:F18"/>
    <x:mergeCell ref="B20:F20"/>
    <x:mergeCell ref="B21:F21"/>
    <x:mergeCell ref="B23:F23"/>
  </x:mergeCells>
  <x:pageMargins left="0.7" right="0.7" top="0.75" bottom="0.75" header="0.3" footer="0.3"/>
  <x:drawing xmlns:r="http://schemas.openxmlformats.org/officeDocument/2006/relationships" r:id="R25c2b1aea3a040c8"/>
</x:worksheet>
</file>