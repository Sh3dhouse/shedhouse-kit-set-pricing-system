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362ba793843cb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Customer Quote" sheetId="1" ns1:id="R21906c95f8dc4241"/>
    <ns0:sheet name="SH Pricing" sheetId="2" ns1:id="R6c926b1b0b1e40c3"/>
    <ns0:sheet name="Base Proposals" sheetId="3" ns1:id="R1d47180fcb5b4e50"/>
    <ns0:sheet name="SHP Export" sheetId="4" ns1:id="R3adc7da9fcfc4bc2"/>
    <ns0:sheet name="Brand Guide" sheetId="5" ns1:id="Rf751c6cd28af425b"/>
    <ns0:sheet name="Pricing V2" sheetId="6" ns1:id="Rb2fca434c5fb4752"/>
  </ns0:sheets>
</ns0:workbook>
</file>

<file path=xl/sharedStrings.xml><?xml version="1.0" encoding="utf-8"?>
<x:sst xmlns:x="http://schemas.openxmlformats.org/spreadsheetml/2006/main"/>
</file>

<file path=xl/styles.xml><?xml version="1.0" encoding="utf-8"?>
<ns0:styleSheet xmlns:ns0="http://schemas.openxmlformats.org/spreadsheetml/2006/main">
  <ns0:numFmts count="5">
    <ns0:numFmt numFmtId="200" formatCode="dd mmm yyyy"/>
    <ns0:numFmt numFmtId="201" formatCode="&quot;$&quot;#,##0.00;[Red](&quot;$&quot;#,##0.00);&quot;$&quot;0.00"/>
    <ns0:numFmt numFmtId="202" formatCode="0.0%"/>
    <ns0:numFmt numFmtId="203" formatCode="General"/>
    <ns0:numFmt numFmtId="204" formatCode="0.00"/>
  </ns0:numFmts>
  <ns0:fonts count="15">
    <ns0:font>
      <ns0:sz val="11"/>
      <ns0:name val="Carlito"/>
    </ns0:font>
    <ns0:font>
      <ns0:sz val="10"/>
      <ns0:color rgb="FF233747"/>
      <ns0:name val="Arial"/>
    </ns0:font>
    <ns0:font>
      <ns0:b/>
      <ns0:sz val="16"/>
      <ns0:color rgb="FF233747"/>
      <ns0:name val="Arial"/>
    </ns0:font>
    <ns0:font>
      <ns0:b/>
      <ns0:sz val="10"/>
      <ns0:color rgb="FFFFFFFF"/>
      <ns0:name val="Arial"/>
    </ns0:font>
    <ns0:font>
      <ns0:b/>
      <ns0:sz val="10"/>
      <ns0:color rgb="FF233747"/>
      <ns0:name val="Arial"/>
    </ns0:font>
    <ns0:font>
      <ns0:sz val="10"/>
      <ns0:color rgb="FF1756A9"/>
      <ns0:name val="Arial"/>
    </ns0:font>
    <ns0:font>
      <ns0:sz val="10"/>
      <ns0:color rgb="FF233747"/>
      <ns0:name val="Work Sans"/>
    </ns0:font>
    <ns0:font>
      <ns0:b/>
      <ns0:sz val="16"/>
      <ns0:color rgb="FF233747"/>
      <ns0:name val="Work Sans"/>
    </ns0:font>
    <ns0:font>
      <ns0:b/>
      <ns0:sz val="10"/>
      <ns0:color rgb="FFFFFFFF"/>
      <ns0:name val="Work Sans"/>
    </ns0:font>
    <ns0:font>
      <ns0:b/>
      <ns0:sz val="10"/>
      <ns0:color rgb="FF233747"/>
      <ns0:name val="Work Sans"/>
    </ns0:font>
    <ns0:font>
      <ns0:sz val="10"/>
      <ns0:color rgb="FF20353C"/>
      <ns0:name val="Work Sans"/>
    </ns0:font>
    <ns0:font>
      <ns0:b/>
      <ns0:sz val="16"/>
      <ns0:color rgb="FF20353C"/>
      <ns0:name val="Work Sans"/>
    </ns0:font>
    <ns0:font>
      <ns0:b/>
      <ns0:sz val="10"/>
      <ns0:color rgb="FF20353C"/>
      <ns0:name val="Work Sans"/>
    </ns0:font>
    <ns0:font>
      <ns0:sz val="10"/>
      <ns0:color rgb="FF1756A9"/>
      <ns0:name val="Work Sans"/>
    </ns0:font>
    <ns0:font>
      <ns0:b/>
      <ns0:sz val="11"/>
      <ns0:color rgb="FFFFFFFF"/>
      <ns0:name val="Carlito"/>
    </ns0:font>
  </ns0:fonts>
  <ns0:fills count="11">
    <ns0:fill>
      <ns0:patternFill patternType="none"/>
    </ns0:fill>
    <ns0:fill>
      <ns0:patternFill patternType="gray125"/>
    </ns0:fill>
    <ns0:fill>
      <ns0:patternFill patternType="solid">
        <ns0:fgColor rgb="FF243F57"/>
      </ns0:patternFill>
    </ns0:fill>
    <ns0:fill>
      <ns0:patternFill patternType="solid">
        <ns0:fgColor rgb="FFE4EDF3"/>
      </ns0:patternFill>
    </ns0:fill>
    <ns0:fill>
      <ns0:patternFill patternType="solid">
        <ns0:fgColor rgb="FFFFF2CC"/>
      </ns0:patternFill>
    </ns0:fill>
    <ns0:fill>
      <ns0:patternFill patternType="solid">
        <ns0:fgColor rgb="FF243F57"/>
      </ns0:patternFill>
    </ns0:fill>
    <ns0:fill>
      <ns0:patternFill patternType="solid">
        <ns0:fgColor rgb="FF20353C"/>
      </ns0:patternFill>
    </ns0:fill>
    <ns0:fill>
      <ns0:patternFill patternType="solid">
        <ns0:fgColor rgb="FFF3EBE1"/>
      </ns0:patternFill>
    </ns0:fill>
    <ns0:fill>
      <ns0:patternFill patternType="solid">
        <ns0:fgColor rgb="FFFAA21F"/>
      </ns0:patternFill>
    </ns0:fill>
    <ns0:fill>
      <ns0:patternFill patternType="solid">
        <ns0:fgColor rgb="FFF3EBE1"/>
      </ns0:patternFill>
    </ns0:fill>
    <ns0:fill>
      <ns0:patternFill patternType="solid">
        <ns0:fgColor rgb="FF20353C"/>
      </ns0:patternFill>
    </ns0:fill>
  </ns0:fills>
  <ns0:borders count="3">
    <ns0:border>
      <ns0:left/>
      <ns0:right/>
      <ns0:top/>
      <ns0:bottom/>
      <ns0:diagonal/>
    </ns0:border>
    <ns0:border>
      <ns0:left/>
      <ns0:right/>
      <ns0:top/>
      <ns0:bottom style="medium">
        <ns0:color rgb="FFFAA21F"/>
      </ns0:bottom>
      <ns0:diagonal/>
    </ns0:border>
    <ns0:border>
      <ns0:left/>
      <ns0:right/>
      <ns0:top/>
      <ns0:bottom style="thin">
        <ns0:color rgb="FFFAA21F"/>
      </ns0:bottom>
      <ns0:diagonal/>
    </ns0:border>
  </ns0:borders>
  <ns0:cellStyleXfs count="1">
    <ns0:xf numFmtId="0" fontId="0" fillId="0" borderId="0"/>
  </ns0:cellStyleXfs>
  <ns0:cellXfs count="106">
    <ns0:xf numFmtId="0" fontId="0" fillId="0" borderId="0" xfId="0"/>
    <ns0:xf numFmtId="0" fontId="1" fillId="0" borderId="0" xfId="0" applyNumberFormat="1" applyFont="1" applyFill="1" applyBorder="1"/>
    <ns0:xf numFmtId="0" fontId="1" fillId="0" borderId="0" xfId="0" applyNumberFormat="1" applyFont="1" applyFill="1" applyBorder="1" applyAlignment="1">
      <ns0:alignment vertical="center"/>
    </ns0:xf>
    <ns0:xf numFmtId="0" fontId="2" fillId="0" borderId="0" xfId="0" applyNumberFormat="1" applyFont="1" applyFill="1" applyBorder="1" applyAlignment="1">
      <ns0:alignment vertical="center"/>
    </ns0:xf>
    <ns0:xf numFmtId="200" fontId="1" fillId="0" borderId="0" xfId="0" applyNumberFormat="1" applyFont="1" applyFill="1" applyBorder="1" applyAlignment="1">
      <ns0:alignment vertical="center"/>
    </ns0:xf>
    <ns0:xf numFmtId="0" fontId="1" fillId="2" borderId="0" xfId="0" applyNumberFormat="1" applyFont="1" applyFill="1" applyBorder="1" applyAlignment="1">
      <ns0:alignment vertical="center"/>
    </ns0:xf>
    <ns0:xf numFmtId="0" fontId="3" fillId="2" borderId="0" xfId="0" applyNumberFormat="1" applyFont="1" applyFill="1" applyBorder="1" applyAlignment="1">
      <ns0:alignment vertical="center"/>
    </ns0:xf>
    <ns0:xf numFmtId="201" fontId="1" fillId="0" borderId="0" xfId="0" applyNumberFormat="1" applyFont="1" applyFill="1" applyBorder="1" applyAlignment="1">
      <ns0:alignment vertical="center"/>
    </ns0:xf>
    <ns0:xf numFmtId="0" fontId="1" fillId="3" borderId="0" xfId="0" applyNumberFormat="1" applyFont="1" applyFill="1" applyBorder="1" applyAlignment="1">
      <ns0:alignment vertical="center"/>
    </ns0:xf>
    <ns0:xf numFmtId="201" fontId="1" fillId="3" borderId="0" xfId="0" applyNumberFormat="1" applyFont="1" applyFill="1" applyBorder="1" applyAlignment="1">
      <ns0:alignment vertical="center"/>
    </ns0:xf>
    <ns0:xf numFmtId="0" fontId="4" fillId="3" borderId="0" xfId="0" applyNumberFormat="1" applyFont="1" applyFill="1" applyBorder="1" applyAlignment="1">
      <ns0:alignment vertical="center"/>
    </ns0:xf>
    <ns0:xf numFmtId="201" fontId="4" fillId="3" borderId="0" xfId="0" applyNumberFormat="1" applyFont="1" applyFill="1" applyBorder="1" applyAlignment="1">
      <ns0:alignment vertical="center"/>
    </ns0:xf>
    <ns0:xf numFmtId="0" fontId="1" fillId="0" borderId="0" xfId="0" applyNumberFormat="1" applyFont="1" applyFill="1" applyBorder="1" applyAlignment="1">
      <ns0:alignment vertical="center" wrapText="1"/>
    </ns0:xf>
    <ns0:xf numFmtId="0" fontId="1" fillId="4" borderId="0" xfId="0" applyNumberFormat="1" applyFont="1" applyFill="1" applyBorder="1" applyAlignment="1">
      <ns0:alignment vertical="center"/>
    </ns0:xf>
    <ns0:xf numFmtId="0" fontId="5" fillId="4" borderId="0" xfId="0" applyNumberFormat="1" applyFont="1" applyFill="1" applyBorder="1" applyAlignment="1">
      <ns0:alignment vertical="center"/>
    </ns0:xf>
    <ns0:xf numFmtId="200" fontId="5" fillId="4" borderId="0" xfId="0" applyNumberFormat="1" applyFont="1" applyFill="1" applyBorder="1" applyAlignment="1">
      <ns0:alignment vertical="center"/>
    </ns0:xf>
    <ns0:xf numFmtId="0" fontId="5" fillId="4" borderId="0" xfId="0" applyNumberFormat="1" applyFont="1" applyFill="1" applyBorder="1" applyAlignment="1">
      <ns0:alignment vertical="center" wrapText="1"/>
    </ns0:xf>
    <ns0:xf numFmtId="0" fontId="1" fillId="4" borderId="0" xfId="0" applyNumberFormat="1" applyFont="1" applyFill="1" applyBorder="1" applyAlignment="1">
      <ns0:alignment vertical="center" wrapText="1"/>
    </ns0:xf>
    <ns0:xf numFmtId="202" fontId="1" fillId="0" borderId="0" xfId="0" applyNumberFormat="1" applyFont="1" applyFill="1" applyBorder="1" applyAlignment="1">
      <ns0:alignment vertical="center"/>
    </ns0:xf>
    <ns0:xf numFmtId="202" fontId="1" fillId="4" borderId="0" xfId="0" applyNumberFormat="1" applyFont="1" applyFill="1" applyBorder="1" applyAlignment="1">
      <ns0:alignment vertical="center"/>
    </ns0:xf>
    <ns0:xf numFmtId="202" fontId="5" fillId="4" borderId="0" xfId="0" applyNumberFormat="1" applyFont="1" applyFill="1" applyBorder="1" applyAlignment="1">
      <ns0:alignment vertical="center"/>
    </ns0:xf>
    <ns0:xf numFmtId="201" fontId="5" fillId="4" borderId="0" xfId="0" applyNumberFormat="1" applyFont="1" applyFill="1" applyBorder="1" applyAlignment="1">
      <ns0:alignment vertical="center"/>
    </ns0:xf>
    <ns0:xf numFmtId="201" fontId="1" fillId="2" borderId="0" xfId="0" applyNumberFormat="1" applyFont="1" applyFill="1" applyBorder="1" applyAlignment="1">
      <ns0:alignment vertical="center"/>
    </ns0:xf>
    <ns0:xf numFmtId="201" fontId="3" fillId="2" borderId="0" xfId="0" applyNumberFormat="1" applyFont="1" applyFill="1" applyBorder="1" applyAlignment="1">
      <ns0:alignment vertical="center"/>
    </ns0:xf>
    <ns0:xf numFmtId="0" fontId="1" fillId="2" borderId="0" xfId="0" applyNumberFormat="1" applyFont="1" applyFill="1" applyBorder="1" applyAlignment="1">
      <ns0:alignment vertical="center" wrapText="1"/>
    </ns0:xf>
    <ns0:xf numFmtId="0" fontId="3" fillId="2" borderId="0" xfId="0" applyNumberFormat="1" applyFont="1" applyFill="1" applyBorder="1" applyAlignment="1">
      <ns0:alignment vertical="center" wrapText="1"/>
    </ns0:xf>
    <ns0:xf numFmtId="0" fontId="1" fillId="5" borderId="0" xfId="0" applyNumberFormat="1" applyFont="1" applyFill="1" applyBorder="1" applyAlignment="1">
      <ns0:alignment vertical="center"/>
    </ns0:xf>
    <ns0:xf numFmtId="0" fontId="3" fillId="5" borderId="0" xfId="0" applyNumberFormat="1" applyFont="1" applyFill="1" applyBorder="1" applyAlignment="1">
      <ns0:alignment vertical="center"/>
    </ns0:xf>
    <ns0:xf numFmtId="0" fontId="6" fillId="0" borderId="0" xfId="0" applyNumberFormat="1" applyFont="1" applyFill="1" applyBorder="1" applyAlignment="1">
      <ns0:alignment vertical="center"/>
    </ns0:xf>
    <ns0:xf numFmtId="0" fontId="7" fillId="0" borderId="0" xfId="0" applyNumberFormat="1" applyFont="1" applyFill="1" applyBorder="1" applyAlignment="1">
      <ns0:alignment vertical="center"/>
    </ns0:xf>
    <ns0:xf numFmtId="200" fontId="6" fillId="0" borderId="0" xfId="0" applyNumberFormat="1" applyFont="1" applyFill="1" applyBorder="1" applyAlignment="1">
      <ns0:alignment vertical="center"/>
    </ns0:xf>
    <ns0:xf numFmtId="0" fontId="6" fillId="0" borderId="0" xfId="0" applyNumberFormat="1" applyFont="1" applyFill="1" applyBorder="1" applyAlignment="1">
      <ns0:alignment vertical="center" wrapText="1"/>
    </ns0:xf>
    <ns0:xf numFmtId="0" fontId="8" fillId="2" borderId="0" xfId="0" applyNumberFormat="1" applyFont="1" applyFill="1" applyBorder="1" applyAlignment="1">
      <ns0:alignment vertical="center"/>
    </ns0:xf>
    <ns0:xf numFmtId="201" fontId="6" fillId="0" borderId="0" xfId="0" applyNumberFormat="1" applyFont="1" applyFill="1" applyBorder="1" applyAlignment="1">
      <ns0:alignment vertical="center"/>
    </ns0:xf>
    <ns0:xf numFmtId="0" fontId="9" fillId="3" borderId="0" xfId="0" applyNumberFormat="1" applyFont="1" applyFill="1" applyBorder="1" applyAlignment="1">
      <ns0:alignment vertical="center"/>
    </ns0:xf>
    <ns0:xf numFmtId="201" fontId="9" fillId="3" borderId="0" xfId="0" applyNumberFormat="1" applyFont="1" applyFill="1" applyBorder="1" applyAlignment="1">
      <ns0:alignment vertical="center"/>
    </ns0:xf>
    <ns0:xf numFmtId="0" fontId="10" fillId="0" borderId="0" xfId="0" applyNumberFormat="1" applyFont="1" applyFill="1" applyBorder="1" applyAlignment="1">
      <ns0:alignment vertical="center"/>
    </ns0:xf>
    <ns0:xf numFmtId="0" fontId="11" fillId="0" borderId="0" xfId="0" applyNumberFormat="1" applyFont="1" applyFill="1" applyBorder="1" applyAlignment="1">
      <ns0:alignment vertical="center"/>
    </ns0:xf>
    <ns0:xf numFmtId="200" fontId="10" fillId="0" borderId="0" xfId="0" applyNumberFormat="1" applyFont="1" applyFill="1" applyBorder="1" applyAlignment="1">
      <ns0:alignment vertical="center"/>
    </ns0:xf>
    <ns0:xf numFmtId="0" fontId="10" fillId="0" borderId="0" xfId="0" applyNumberFormat="1" applyFont="1" applyFill="1" applyBorder="1" applyAlignment="1">
      <ns0:alignment vertical="center" wrapText="1"/>
    </ns0:xf>
    <ns0:xf numFmtId="0" fontId="12" fillId="2" borderId="0" xfId="0" applyNumberFormat="1" applyFont="1" applyFill="1" applyBorder="1" applyAlignment="1">
      <ns0:alignment vertical="center"/>
    </ns0:xf>
    <ns0:xf numFmtId="201" fontId="10" fillId="0" borderId="0" xfId="0" applyNumberFormat="1" applyFont="1" applyFill="1" applyBorder="1" applyAlignment="1">
      <ns0:alignment vertical="center"/>
    </ns0:xf>
    <ns0:xf numFmtId="0" fontId="12" fillId="3" borderId="0" xfId="0" applyNumberFormat="1" applyFont="1" applyFill="1" applyBorder="1" applyAlignment="1">
      <ns0:alignment vertical="center"/>
    </ns0:xf>
    <ns0:xf numFmtId="201" fontId="12" fillId="3" borderId="0" xfId="0" applyNumberFormat="1" applyFont="1" applyFill="1" applyBorder="1" applyAlignment="1">
      <ns0:alignment vertical="center"/>
    </ns0:xf>
    <ns0:xf numFmtId="0" fontId="12" fillId="6" borderId="0" xfId="0" applyNumberFormat="1" applyFont="1" applyFill="1" applyBorder="1" applyAlignment="1">
      <ns0:alignment vertical="center"/>
    </ns0:xf>
    <ns0:xf numFmtId="0" fontId="8" fillId="6" borderId="0" xfId="0" applyNumberFormat="1" applyFont="1" applyFill="1" applyBorder="1" applyAlignment="1">
      <ns0:alignment vertical="center"/>
    </ns0:xf>
    <ns0:xf numFmtId="0" fontId="12" fillId="7" borderId="0" xfId="0" applyNumberFormat="1" applyFont="1" applyFill="1" applyBorder="1" applyAlignment="1">
      <ns0:alignment vertical="center"/>
    </ns0:xf>
    <ns0:xf numFmtId="201" fontId="12" fillId="7" borderId="0" xfId="0" applyNumberFormat="1" applyFont="1" applyFill="1" applyBorder="1" applyAlignment="1">
      <ns0:alignment vertical="center"/>
    </ns0:xf>
    <ns0:xf numFmtId="0" fontId="11" fillId="0" borderId="1" xfId="0" applyNumberFormat="1" applyFont="1" applyFill="1" applyBorder="1" applyAlignment="1">
      <ns0:alignment vertical="center"/>
    </ns0:xf>
    <ns0:xf numFmtId="0" fontId="10" fillId="0" borderId="1" xfId="0" applyNumberFormat="1" applyFont="1" applyFill="1" applyBorder="1" applyAlignment="1">
      <ns0:alignment vertical="center"/>
    </ns0:xf>
    <ns0:xf numFmtId="0" fontId="13" fillId="4" borderId="0" xfId="0" applyNumberFormat="1" applyFont="1" applyFill="1" applyBorder="1" applyAlignment="1">
      <ns0:alignment vertical="center"/>
    </ns0:xf>
    <ns0:xf numFmtId="0" fontId="13" fillId="4" borderId="0" xfId="0" applyNumberFormat="1" applyFont="1" applyFill="1" applyBorder="1" applyAlignment="1">
      <ns0:alignment vertical="center" wrapText="1"/>
    </ns0:xf>
    <ns0:xf numFmtId="200" fontId="13" fillId="4" borderId="0" xfId="0" applyNumberFormat="1" applyFont="1" applyFill="1" applyBorder="1" applyAlignment="1">
      <ns0:alignment vertical="center"/>
    </ns0:xf>
    <ns0:xf numFmtId="202" fontId="6" fillId="0" borderId="0" xfId="0" applyNumberFormat="1" applyFont="1" applyFill="1" applyBorder="1" applyAlignment="1">
      <ns0:alignment vertical="center"/>
    </ns0:xf>
    <ns0:xf numFmtId="202" fontId="13" fillId="4" borderId="0" xfId="0" applyNumberFormat="1" applyFont="1" applyFill="1" applyBorder="1" applyAlignment="1">
      <ns0:alignment vertical="center"/>
    </ns0:xf>
    <ns0:xf numFmtId="201" fontId="13" fillId="4" borderId="0" xfId="0" applyNumberFormat="1" applyFont="1" applyFill="1" applyBorder="1" applyAlignment="1">
      <ns0:alignment vertical="center"/>
    </ns0:xf>
    <ns0:xf numFmtId="201" fontId="8" fillId="2" borderId="0" xfId="0" applyNumberFormat="1" applyFont="1" applyFill="1" applyBorder="1" applyAlignment="1">
      <ns0:alignment vertical="center"/>
    </ns0:xf>
    <ns0:xf numFmtId="0" fontId="8" fillId="2" borderId="0" xfId="0" applyNumberFormat="1" applyFont="1" applyFill="1" applyBorder="1" applyAlignment="1">
      <ns0:alignment vertical="center" wrapText="1"/>
    </ns0:xf>
    <ns0:xf numFmtId="0" fontId="10" fillId="4" borderId="0" xfId="0" applyNumberFormat="1" applyFont="1" applyFill="1" applyBorder="1" applyAlignment="1">
      <ns0:alignment vertical="center"/>
    </ns0:xf>
    <ns0:xf numFmtId="0" fontId="10" fillId="4" borderId="0" xfId="0" applyNumberFormat="1" applyFont="1" applyFill="1" applyBorder="1" applyAlignment="1">
      <ns0:alignment vertical="center" wrapText="1"/>
    </ns0:xf>
    <ns0:xf numFmtId="200" fontId="10" fillId="4" borderId="0" xfId="0" applyNumberFormat="1" applyFont="1" applyFill="1" applyBorder="1" applyAlignment="1">
      <ns0:alignment vertical="center"/>
    </ns0:xf>
    <ns0:xf numFmtId="202" fontId="10" fillId="0" borderId="0" xfId="0" applyNumberFormat="1" applyFont="1" applyFill="1" applyBorder="1" applyAlignment="1">
      <ns0:alignment vertical="center"/>
    </ns0:xf>
    <ns0:xf numFmtId="202" fontId="10" fillId="4" borderId="0" xfId="0" applyNumberFormat="1" applyFont="1" applyFill="1" applyBorder="1" applyAlignment="1">
      <ns0:alignment vertical="center"/>
    </ns0:xf>
    <ns0:xf numFmtId="201" fontId="10" fillId="4" borderId="0" xfId="0" applyNumberFormat="1" applyFont="1" applyFill="1" applyBorder="1" applyAlignment="1">
      <ns0:alignment vertical="center"/>
    </ns0:xf>
    <ns0:xf numFmtId="201" fontId="12" fillId="2" borderId="0" xfId="0" applyNumberFormat="1" applyFont="1" applyFill="1" applyBorder="1" applyAlignment="1">
      <ns0:alignment vertical="center"/>
    </ns0:xf>
    <ns0:xf numFmtId="0" fontId="12" fillId="2" borderId="0" xfId="0" applyNumberFormat="1" applyFont="1" applyFill="1" applyBorder="1" applyAlignment="1">
      <ns0:alignment vertical="center" wrapText="1"/>
    </ns0:xf>
    <ns0:xf numFmtId="0" fontId="10" fillId="7" borderId="0" xfId="0" applyNumberFormat="1" applyFont="1" applyFill="1" applyBorder="1" applyAlignment="1">
      <ns0:alignment vertical="center"/>
    </ns0:xf>
    <ns0:xf numFmtId="0" fontId="10" fillId="7" borderId="2" xfId="0" applyNumberFormat="1" applyFont="1" applyFill="1" applyBorder="1" applyAlignment="1">
      <ns0:alignment vertical="center"/>
    </ns0:xf>
    <ns0:xf numFmtId="0" fontId="10" fillId="7" borderId="0" xfId="0" applyNumberFormat="1" applyFont="1" applyFill="1" applyBorder="1" applyAlignment="1">
      <ns0:alignment vertical="center" wrapText="1"/>
    </ns0:xf>
    <ns0:xf numFmtId="0" fontId="10" fillId="7" borderId="2" xfId="0" applyNumberFormat="1" applyFont="1" applyFill="1" applyBorder="1" applyAlignment="1">
      <ns0:alignment vertical="center" wrapText="1"/>
    </ns0:xf>
    <ns0:xf numFmtId="200" fontId="10" fillId="7" borderId="0" xfId="0" applyNumberFormat="1" applyFont="1" applyFill="1" applyBorder="1" applyAlignment="1">
      <ns0:alignment vertical="center"/>
    </ns0:xf>
    <ns0:xf numFmtId="200" fontId="10" fillId="7" borderId="2" xfId="0" applyNumberFormat="1" applyFont="1" applyFill="1" applyBorder="1" applyAlignment="1">
      <ns0:alignment vertical="center"/>
    </ns0:xf>
    <ns0:xf numFmtId="202" fontId="10" fillId="7" borderId="0" xfId="0" applyNumberFormat="1" applyFont="1" applyFill="1" applyBorder="1" applyAlignment="1">
      <ns0:alignment vertical="center"/>
    </ns0:xf>
    <ns0:xf numFmtId="202" fontId="10" fillId="7" borderId="2" xfId="0" applyNumberFormat="1" applyFont="1" applyFill="1" applyBorder="1" applyAlignment="1">
      <ns0:alignment vertical="center"/>
    </ns0:xf>
    <ns0:xf numFmtId="201" fontId="10" fillId="7" borderId="0" xfId="0" applyNumberFormat="1" applyFont="1" applyFill="1" applyBorder="1" applyAlignment="1">
      <ns0:alignment vertical="center"/>
    </ns0:xf>
    <ns0:xf numFmtId="201" fontId="10" fillId="7" borderId="2" xfId="0" applyNumberFormat="1" applyFont="1" applyFill="1" applyBorder="1" applyAlignment="1">
      <ns0:alignment vertical="center"/>
    </ns0:xf>
    <ns0:xf numFmtId="201" fontId="12" fillId="6" borderId="0" xfId="0" applyNumberFormat="1" applyFont="1" applyFill="1" applyBorder="1" applyAlignment="1">
      <ns0:alignment vertical="center"/>
    </ns0:xf>
    <ns0:xf numFmtId="201" fontId="8" fillId="6" borderId="0" xfId="0" applyNumberFormat="1" applyFont="1" applyFill="1" applyBorder="1" applyAlignment="1">
      <ns0:alignment vertical="center"/>
    </ns0:xf>
    <ns0:xf numFmtId="0" fontId="12" fillId="6" borderId="0" xfId="0" applyNumberFormat="1" applyFont="1" applyFill="1" applyBorder="1" applyAlignment="1">
      <ns0:alignment vertical="center" wrapText="1"/>
    </ns0:xf>
    <ns0:xf numFmtId="0" fontId="8" fillId="6" borderId="0" xfId="0" applyNumberFormat="1" applyFont="1" applyFill="1" applyBorder="1" applyAlignment="1">
      <ns0:alignment vertical="center" wrapText="1"/>
    </ns0:xf>
    <ns0:xf numFmtId="0" fontId="10" fillId="0" borderId="0" xfId="0" applyNumberFormat="1" applyFont="1" applyFill="1" applyBorder="1"/>
    <ns0:xf numFmtId="0" fontId="10" fillId="6" borderId="0" xfId="0" applyNumberFormat="1" applyFont="1" applyFill="1" applyBorder="1" applyAlignment="1">
      <ns0:alignment vertical="center"/>
    </ns0:xf>
    <ns0:xf numFmtId="0" fontId="10" fillId="8" borderId="0" xfId="0" applyNumberFormat="1" applyFont="1" applyFill="1" applyBorder="1" applyAlignment="1">
      <ns0:alignment vertical="center"/>
    </ns0:xf>
    <ns0:xf numFmtId="0" fontId="10" fillId="9" borderId="0" xfId="0" applyNumberFormat="1" applyFont="1" applyFill="1" applyBorder="1" applyAlignment="1">
      <ns0:alignment vertical="center"/>
    </ns0:xf>
    <ns0:xf numFmtId="0" fontId="10" fillId="9" borderId="2" xfId="0" applyNumberFormat="1" applyFont="1" applyFill="1" applyBorder="1" applyAlignment="1">
      <ns0:alignment vertical="center"/>
    </ns0:xf>
    <ns0:xf numFmtId="201" fontId="10" fillId="9" borderId="2" xfId="0" applyNumberFormat="1" applyFont="1" applyFill="1" applyBorder="1" applyAlignment="1">
      <ns0:alignment vertical="center"/>
    </ns0:xf>
    <ns0:xf numFmtId="202" fontId="10" fillId="9" borderId="2" xfId="0" applyNumberFormat="1" applyFont="1" applyFill="1" applyBorder="1" applyAlignment="1">
      <ns0:alignment vertical="center"/>
    </ns0:xf>
    <ns0:xf numFmtId="200" fontId="10" fillId="9" borderId="2" xfId="0" applyNumberFormat="1" applyFont="1" applyFill="1" applyBorder="1" applyAlignment="1">
      <ns0:alignment vertical="center"/>
    </ns0:xf>
    <ns0:xf numFmtId="0" fontId="10" fillId="10" borderId="0" xfId="0" applyNumberFormat="1" applyFont="1" applyFill="1" applyBorder="1" applyAlignment="1">
      <ns0:alignment vertical="center"/>
    </ns0:xf>
    <ns0:xf numFmtId="0" fontId="8" fillId="10" borderId="0" xfId="0" applyNumberFormat="1" applyFont="1" applyFill="1" applyBorder="1" applyAlignment="1">
      <ns0:alignment vertical="center"/>
    </ns0:xf>
    <ns0:xf numFmtId="0" fontId="8" fillId="10" borderId="0" xfId="0" applyNumberFormat="1" applyFont="1" applyFill="1" applyBorder="1" applyAlignment="1">
      <ns0:alignment vertical="center" wrapText="1"/>
    </ns0:xf>
    <ns0:xf numFmtId="203" fontId="10" fillId="0" borderId="0" xfId="0" applyNumberFormat="1" applyFont="1" applyFill="1" applyBorder="1" applyAlignment="1">
      <ns0:alignment vertical="center"/>
    </ns0:xf>
    <ns0:xf numFmtId="204" fontId="10" fillId="0" borderId="0" xfId="0" applyNumberFormat="1" applyFont="1" applyFill="1" applyBorder="1" applyAlignment="1">
      <ns0:alignment vertical="center"/>
    </ns0:xf>
    <ns0:xf numFmtId="201" fontId="10" fillId="10" borderId="0" xfId="0" applyNumberFormat="1" applyFont="1" applyFill="1" applyBorder="1" applyAlignment="1">
      <ns0:alignment vertical="center"/>
    </ns0:xf>
    <ns0:xf numFmtId="201" fontId="8" fillId="10" borderId="0" xfId="0" applyNumberFormat="1" applyFont="1" applyFill="1" applyBorder="1" applyAlignment="1">
      <ns0:alignment vertical="center"/>
    </ns0:xf>
    <ns0:xf numFmtId="0" fontId="0" fillId="10" borderId="0" xfId="0" applyNumberFormat="1" applyFont="1" applyFill="1" applyBorder="1"/>
    <ns0:xf numFmtId="0" fontId="14" fillId="10" borderId="0" xfId="0" applyNumberFormat="1" applyFont="1" applyFill="1" applyBorder="1"/>
    <ns0:xf numFmtId="0" fontId="10" fillId="7" borderId="2" xfId="0" applyNumberFormat="1" applyFont="1" applyFill="1" applyBorder="1" applyAlignment="1" applyProtection="1">
      <ns0:alignment vertical="center"/>
      <ns0:protection locked="0"/>
    </ns0:xf>
    <ns0:xf numFmtId="0" fontId="10" fillId="7" borderId="2" xfId="0" applyNumberFormat="1" applyFont="1" applyFill="1" applyBorder="1" applyAlignment="1" applyProtection="1">
      <ns0:alignment vertical="center" wrapText="1"/>
      <ns0:protection locked="0"/>
    </ns0:xf>
    <ns0:xf numFmtId="200" fontId="10" fillId="7" borderId="2" xfId="0" applyNumberFormat="1" applyFont="1" applyFill="1" applyBorder="1" applyAlignment="1" applyProtection="1">
      <ns0:alignment vertical="center"/>
      <ns0:protection locked="0"/>
    </ns0:xf>
    <ns0:xf numFmtId="202" fontId="10" fillId="7" borderId="2" xfId="0" applyNumberFormat="1" applyFont="1" applyFill="1" applyBorder="1" applyAlignment="1" applyProtection="1">
      <ns0:alignment vertical="center"/>
      <ns0:protection locked="0"/>
    </ns0:xf>
    <ns0:xf numFmtId="201" fontId="10" fillId="7" borderId="2" xfId="0" applyNumberFormat="1" applyFont="1" applyFill="1" applyBorder="1" applyAlignment="1" applyProtection="1">
      <ns0:alignment vertical="center"/>
      <ns0:protection locked="0"/>
    </ns0:xf>
    <ns0:xf numFmtId="0" fontId="10" fillId="9" borderId="2" xfId="0" applyNumberFormat="1" applyFont="1" applyFill="1" applyBorder="1" applyAlignment="1" applyProtection="1">
      <ns0:alignment vertical="center"/>
      <ns0:protection locked="0"/>
    </ns0:xf>
    <ns0:xf numFmtId="201" fontId="10" fillId="9" borderId="2" xfId="0" applyNumberFormat="1" applyFont="1" applyFill="1" applyBorder="1" applyAlignment="1" applyProtection="1">
      <ns0:alignment vertical="center"/>
      <ns0:protection locked="0"/>
    </ns0:xf>
    <ns0:xf numFmtId="202" fontId="10" fillId="9" borderId="2" xfId="0" applyNumberFormat="1" applyFont="1" applyFill="1" applyBorder="1" applyAlignment="1" applyProtection="1">
      <ns0:alignment vertical="center"/>
      <ns0:protection locked="0"/>
    </ns0:xf>
    <ns0:xf numFmtId="200" fontId="10" fillId="9" borderId="2" xfId="0" applyNumberFormat="1" applyFont="1" applyFill="1" applyBorder="1" applyAlignment="1" applyProtection="1">
      <ns0:alignment vertical="center"/>
      <ns0:protection locked="0"/>
    </ns0:xf>
  </ns0:cellXfs>
  <ns0:cellStyles count="1">
    <ns0:cellStyle name="Normal" xfId="0"/>
  </ns0:cellStyles>
  <ns0:dxfs count="6">
    <ns0:dxf>
      <ns0:font>
        <ns0:b/>
        <ns0:color rgb="FF9B301D"/>
      </ns0:font>
      <ns0:fill>
        <ns0:patternFill>
          <ns0:bgColor rgb="FFFCE6DC"/>
        </ns0:patternFill>
      </ns0:fill>
    </ns0:dxf>
    <ns0:dxf>
      <ns0:font>
        <ns0:b/>
        <ns0:color rgb="FF9B301D"/>
      </ns0:font>
      <ns0:fill>
        <ns0:patternFill>
          <ns0:bgColor rgb="FFFCE6DC"/>
        </ns0:patternFill>
      </ns0:fill>
    </ns0:dxf>
    <ns0:dxf>
      <ns0:font>
        <ns0:b/>
        <ns0:color rgb="FF19612B"/>
      </ns0:font>
      <ns0:fill>
        <ns0:patternFill patternType="solid">
          <ns0:bgColor rgb="FFE2F0D9"/>
        </ns0:patternFill>
      </ns0:fill>
    </ns0:dxf>
    <ns0:dxf>
      <ns0:font>
        <ns0:b/>
        <ns0:color rgb="FFFFFFFF"/>
      </ns0:font>
      <ns0:fill>
        <ns0:patternFill patternType="solid">
          <ns0:bgColor rgb="FF202020"/>
        </ns0:patternFill>
      </ns0:fill>
    </ns0:dxf>
    <ns0:dxf>
      <ns0:font>
        <ns0:b/>
        <ns0:color rgb="FFC00000"/>
      </ns0:font>
      <ns0:fill>
        <ns0:patternFill patternType="solid">
          <ns0:bgColor rgb="FFFCE4D6"/>
        </ns0:patternFill>
      </ns0:fill>
    </ns0:dxf>
    <ns0:dxf>
      <ns0:font>
        <ns0:b/>
        <ns0:color rgb="FF7F6000"/>
      </ns0:font>
      <ns0:fill>
        <ns0:patternFill patternType="solid">
          <ns0:bgColor rgb="FFFFF2CC"/>
        </ns0:patternFill>
      </ns0:fill>
    </ns0:dxf>
  </ns0:dxfs>
</ns0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ea952fac624594" /><Relationship Type="http://schemas.openxmlformats.org/officeDocument/2006/relationships/theme" Target="/xl/theme/theme1.xml" Id="Rdd7194313c914405" /><Relationship Type="http://schemas.openxmlformats.org/officeDocument/2006/relationships/sharedStrings" Target="/xl/sharedStrings.xml" Id="Rde446652531c4383" /><Relationship Type="http://schemas.openxmlformats.org/officeDocument/2006/relationships/worksheet" Target="/xl/worksheets/sheet1.xml" Id="R21906c95f8dc4241" /><Relationship Type="http://schemas.openxmlformats.org/officeDocument/2006/relationships/worksheet" Target="/xl/worksheets/sheet2.xml" Id="R6c926b1b0b1e40c3" /><Relationship Type="http://schemas.openxmlformats.org/officeDocument/2006/relationships/worksheet" Target="/xl/worksheets/sheet3.xml" Id="R1d47180fcb5b4e50" /><Relationship Type="http://schemas.openxmlformats.org/officeDocument/2006/relationships/worksheet" Target="/xl/worksheets/sheet4.xml" Id="R3adc7da9fcfc4bc2" /><Relationship Type="http://schemas.openxmlformats.org/officeDocument/2006/relationships/worksheet" Target="/xl/worksheets/sheet5.xml" Id="Rf751c6cd28af425b" /><Relationship Type="http://schemas.openxmlformats.org/officeDocument/2006/relationships/worksheet" Target="/xl/worksheets/sheet6.xml" Id="Rb2fca434c5fb475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9008138ceec4c8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80c2427f5f984dc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70bbdbc15bb44ee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16a913e1f0ef4e52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ebc901346d8f4900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1552f18b2cd74a82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3333750" cy="1677293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008138ceec4c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3333750" cy="1677293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c2427f5f984d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3333750" cy="1677293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bbdbc15bb44e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3333750" cy="1677293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a913e1f0ef4e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3333750" cy="1677293"/>
    <xdr:pic>
      <xdr:nvPicPr>
        <xdr:cNvPr id="1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c901346d8f49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3333750" cy="1676400"/>
    <xdr:pic>
      <xdr:nvPicPr>
        <xdr:cNvPr id="1" name="df04f75f-4770-4f17-a3a1-1fc9142dbc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52f18b2cd74a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83826d52e3640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03018cac26a94d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124d81fdb23f45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43b88ba7672b47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efd603aae2a94e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6f0625450a984ae6" 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tabColor rgb="FF20353C"/>
  </ns0:sheetPr>
  <ns0:sheetViews>
    <ns0:sheetView showGridLines="0" workbookViewId="0"/>
  </ns0:sheetViews>
  <ns0:sheetFormatPr defaultRowHeight="15"/>
  <ns0:cols>
    <ns0:col min="1" max="1" width="38" hidden="0" customWidth="1"/>
    <ns0:col min="2" max="2" width="28" hidden="0" customWidth="1"/>
    <ns0:col min="3" max="3" width="19" hidden="0" customWidth="1"/>
    <ns0:col min="4" max="4" width="19" hidden="0" customWidth="1"/>
    <ns0:col min="5" max="5" width="19" hidden="0" customWidth="1"/>
    <ns0:col min="6" max="6" width="19" hidden="0" customWidth="1"/>
  </ns0:cols>
  <ns0:sheetData>
    <ns0:row r="1" ht="135" customHeight="1">
      <ns0:c r="A1" s="36"/>
      <ns0:c r="B1" s="36"/>
      <ns0:c r="C1" s="36"/>
      <ns0:c r="D1" s="36"/>
      <ns0:c r="E1" s="36"/>
      <ns0:c r="F1" s="36"/>
    </ns0:row>
    <ns0:row r="2" ht="24" customHeight="1">
      <ns0:c r="A2" s="37" t="str">
        <ns0:v>Shed House proposal</ns0:v>
      </ns0:c>
      <ns0:c r="B2" s="36"/>
      <ns0:c r="C2" s="36"/>
      <ns0:c r="D2" s="36"/>
      <ns0:c r="E2" s="36"/>
      <ns0:c r="F2" s="36"/>
    </ns0:row>
    <ns0:row r="3" ht="24" customHeight="1">
      <ns0:c r="A3" s="36"/>
      <ns0:c r="B3" s="36"/>
      <ns0:c r="C3" s="36"/>
      <ns0:c r="D3" s="36"/>
      <ns0:c r="E3" s="36"/>
      <ns0:c r="F3" s="36"/>
    </ns0:row>
    <ns0:row r="4" ht="24" customHeight="1">
      <ns0:c r="A4" s="36" t="str">
        <ns0:v>Quote status</ns0:v>
      </ns0:c>
      <ns0:c r="B4" s="36" t="str">
        <ns0:f>'Pricing V2'!B72</ns0:f>
        <ns0:v>Reconcile enclosed floor areas</ns0:v>
      </ns0:c>
      <ns0:c r="C4" s="36"/>
      <ns0:c r="D4" s="36"/>
      <ns0:c r="E4" s="36"/>
      <ns0:c r="F4" s="36"/>
    </ns0:row>
    <ns0:row r="5" ht="24" customHeight="1">
      <ns0:c r="A5" s="36"/>
      <ns0:c r="B5" s="36"/>
      <ns0:c r="C5" s="36"/>
      <ns0:c r="D5" s="36"/>
      <ns0:c r="E5" s="36"/>
      <ns0:c r="F5" s="36"/>
    </ns0:row>
    <ns0:row r="6" ht="24" customHeight="1">
      <ns0:c r="A6" s="36" t="str">
        <ns0:v>Customer</ns0:v>
      </ns0:c>
      <ns0:c r="B6" s="36" t="str">
        <ns0:f>IF('SH Pricing'!B7="","",'SH Pricing'!B7)</ns0:f>
      </ns0:c>
      <ns0:c r="C6" s="36"/>
      <ns0:c r="D6" s="36"/>
      <ns0:c r="E6" s="36"/>
      <ns0:c r="F6" s="36"/>
    </ns0:row>
    <ns0:row r="7" ht="24" customHeight="1">
      <ns0:c r="A7" s="36" t="str">
        <ns0:v>Site address</ns0:v>
      </ns0:c>
      <ns0:c r="B7" s="36" t="str">
        <ns0:f>IF('SH Pricing'!B8="","",'SH Pricing'!B8)</ns0:f>
      </ns0:c>
      <ns0:c r="C7" s="36"/>
      <ns0:c r="D7" s="36"/>
      <ns0:c r="E7" s="36"/>
      <ns0:c r="F7" s="36"/>
    </ns0:row>
    <ns0:row r="8" ht="24" customHeight="1">
      <ns0:c r="A8" s="36" t="str">
        <ns0:v>Quote reference</ns0:v>
      </ns0:c>
      <ns0:c r="B8" s="36" t="str">
        <ns0:f>IF('SH Pricing'!B9="","",'SH Pricing'!B9)</ns0:f>
      </ns0:c>
      <ns0:c r="C8" s="36"/>
      <ns0:c r="D8" s="36"/>
      <ns0:c r="E8" s="36"/>
      <ns0:c r="F8" s="36"/>
    </ns0:row>
    <ns0:row r="9" ht="24" customHeight="1">
      <ns0:c r="A9" s="36" t="str">
        <ns0:v>Quote date</ns0:v>
      </ns0:c>
      <ns0:c r="B9" s="38" t="n">
        <ns0:f>'SH Pricing'!B10</ns0:f>
        <ns0:v>46310</ns0:v>
      </ns0:c>
      <ns0:c r="C9" s="36"/>
      <ns0:c r="D9" s="36"/>
      <ns0:c r="E9" s="36"/>
      <ns0:c r="F9" s="36"/>
    </ns0:row>
    <ns0:row r="10" ht="24" customHeight="1">
      <ns0:c r="A10" s="36" t="str">
        <ns0:v>Valid until</ns0:v>
      </ns0:c>
      <ns0:c r="B10" s="38" t="n">
        <ns0:f>'Pricing V2'!B66</ns0:f>
        <ns0:v>46340</ns0:v>
      </ns0:c>
      <ns0:c r="C10" s="36"/>
      <ns0:c r="D10" s="36"/>
      <ns0:c r="E10" s="36"/>
      <ns0:c r="F10" s="36"/>
    </ns0:row>
    <ns0:row r="11" ht="24" customHeight="1">
      <ns0:c r="A11" s="36" t="str">
        <ns0:v>Construction arrangement</ns0:v>
      </ns0:c>
      <ns0:c r="B11" s="36" t="str">
        <ns0:f>'Pricing V2'!B5</ns0:f>
        <ns0:v>SUPPLY_ONLY</ns0:v>
      </ns0:c>
      <ns0:c r="C11" s="36"/>
      <ns0:c r="D11" s="36"/>
      <ns0:c r="E11" s="36"/>
      <ns0:c r="F11" s="36"/>
    </ns0:row>
    <ns0:row r="12" ht="24" customHeight="1">
      <ns0:c r="A12" s="36" t="str">
        <ns0:v>Building specification</ns0:v>
      </ns0:c>
      <ns0:c r="B12" s="36" t="str">
        <ns0:f>IF('SH Pricing'!B16="","",'SH Pricing'!B16)</ns0:f>
      </ns0:c>
      <ns0:c r="C12" s="36"/>
      <ns0:c r="D12" s="36"/>
      <ns0:c r="E12" s="36"/>
      <ns0:c r="F12" s="36"/>
    </ns0:row>
    <ns0:row r="13" ht="24" customHeight="1">
      <ns0:c r="A13" s="36"/>
      <ns0:c r="B13" s="36"/>
      <ns0:c r="C13" s="36"/>
      <ns0:c r="D13" s="36"/>
      <ns0:c r="E13" s="36"/>
      <ns0:c r="F13" s="36"/>
    </ns0:row>
    <ns0:row r="14" ht="28" customHeight="1">
      <ns0:c r="A14" s="89" t="str">
        <ns0:v>SH charges</ns0:v>
      </ns0:c>
      <ns0:c r="B14" s="89"/>
      <ns0:c r="C14" s="89"/>
      <ns0:c r="D14" s="89"/>
      <ns0:c r="E14" s="89"/>
      <ns0:c r="F14" s="89" t="str">
        <ns0:v>NZD excluding GST</ns0:v>
      </ns0:c>
    </ns0:row>
    <ns0:row r="15" ht="24" customHeight="1">
      <ns0:c r="A15" s="36" t="str">
        <ns0:v>Kitset supply</ns0:v>
      </ns0:c>
      <ns0:c r="B15" s="36"/>
      <ns0:c r="C15" s="36"/>
      <ns0:c r="D15" s="36"/>
      <ns0:c r="E15" s="36"/>
      <ns0:c r="F15" s="41" t="str">
        <ns0:f>IF('Pricing V2'!B72="Ready to issue",'Pricing V2'!B41,"")</ns0:f>
      </ns0:c>
    </ns0:row>
    <ns0:row r="16" ht="24" customHeight="1">
      <ns0:c r="A16" s="36" t="str">
        <ns0:f>IF(AND('Pricing V2'!B27="Yes",'Pricing V2'!C27="SH"),'Pricing V2'!A27,"")</ns0:f>
      </ns0:c>
      <ns0:c r="B16" s="36" t="str">
        <ns0:f>IF(A16="","",'Pricing V2'!G27)</ns0:f>
      </ns0:c>
      <ns0:c r="C16" s="36"/>
      <ns0:c r="D16" s="36"/>
      <ns0:c r="E16" s="36"/>
      <ns0:c r="F16" s="41" t="str">
        <ns0:f>IF(AND(A16&lt;&gt;"",'Pricing V2'!B72="Ready to issue"),'Pricing V2'!N27,"")</ns0:f>
      </ns0:c>
    </ns0:row>
    <ns0:row r="17" ht="24" customHeight="1">
      <ns0:c r="A17" s="36" t="str">
        <ns0:f>IF(AND('Pricing V2'!B28="Yes",'Pricing V2'!C28="SH"),'Pricing V2'!A28,"")</ns0:f>
      </ns0:c>
      <ns0:c r="B17" s="36" t="str">
        <ns0:f>IF(A17="","",'Pricing V2'!G28)</ns0:f>
      </ns0:c>
      <ns0:c r="C17" s="36"/>
      <ns0:c r="D17" s="36"/>
      <ns0:c r="E17" s="36"/>
      <ns0:c r="F17" s="41" t="str">
        <ns0:f>IF(AND(A17&lt;&gt;"",'Pricing V2'!B72="Ready to issue"),'Pricing V2'!N28,"")</ns0:f>
      </ns0:c>
    </ns0:row>
    <ns0:row r="18" ht="24" customHeight="1">
      <ns0:c r="A18" s="36" t="str">
        <ns0:f>IF(AND('Pricing V2'!B29="Yes",'Pricing V2'!C29="SH"),'Pricing V2'!A29,"")</ns0:f>
      </ns0:c>
      <ns0:c r="B18" s="36" t="str">
        <ns0:f>IF(A18="","",'Pricing V2'!G29)</ns0:f>
      </ns0:c>
      <ns0:c r="C18" s="36"/>
      <ns0:c r="D18" s="36"/>
      <ns0:c r="E18" s="36"/>
      <ns0:c r="F18" s="41" t="str">
        <ns0:f>IF(AND(A18&lt;&gt;"",'Pricing V2'!B72="Ready to issue"),'Pricing V2'!N29,"")</ns0:f>
      </ns0:c>
    </ns0:row>
    <ns0:row r="19" ht="24" customHeight="1">
      <ns0:c r="A19" s="36" t="str">
        <ns0:f>IF(AND('Pricing V2'!B30="Yes",'Pricing V2'!C30="SH"),'Pricing V2'!A30,"")</ns0:f>
      </ns0:c>
      <ns0:c r="B19" s="36" t="str">
        <ns0:f>IF(A19="","",'Pricing V2'!G30)</ns0:f>
      </ns0:c>
      <ns0:c r="C19" s="36"/>
      <ns0:c r="D19" s="36"/>
      <ns0:c r="E19" s="36"/>
      <ns0:c r="F19" s="41" t="str">
        <ns0:f>IF(AND(A19&lt;&gt;"",'Pricing V2'!B72="Ready to issue"),'Pricing V2'!N30,"")</ns0:f>
      </ns0:c>
    </ns0:row>
    <ns0:row r="20" ht="24" customHeight="1">
      <ns0:c r="A20" s="36" t="str">
        <ns0:f>IF(AND('Pricing V2'!B31="Yes",'Pricing V2'!C31="SH"),'Pricing V2'!A31,"")</ns0:f>
      </ns0:c>
      <ns0:c r="B20" s="36" t="str">
        <ns0:f>IF(A20="","",'Pricing V2'!G31)</ns0:f>
      </ns0:c>
      <ns0:c r="C20" s="36"/>
      <ns0:c r="D20" s="36"/>
      <ns0:c r="E20" s="36"/>
      <ns0:c r="F20" s="41" t="str">
        <ns0:f>IF(AND(A20&lt;&gt;"",'Pricing V2'!B72="Ready to issue"),'Pricing V2'!N31,"")</ns0:f>
      </ns0:c>
    </ns0:row>
    <ns0:row r="21" ht="24" customHeight="1">
      <ns0:c r="A21" s="36" t="str">
        <ns0:f>IF(AND('Pricing V2'!B32="Yes",'Pricing V2'!C32="SH"),'Pricing V2'!A32,"")</ns0:f>
      </ns0:c>
      <ns0:c r="B21" s="36" t="str">
        <ns0:f>IF(A21="","",'Pricing V2'!G32)</ns0:f>
      </ns0:c>
      <ns0:c r="C21" s="36"/>
      <ns0:c r="D21" s="36"/>
      <ns0:c r="E21" s="36"/>
      <ns0:c r="F21" s="41" t="str">
        <ns0:f>IF(AND(A21&lt;&gt;"",'Pricing V2'!B72="Ready to issue"),'Pricing V2'!N32,"")</ns0:f>
      </ns0:c>
    </ns0:row>
    <ns0:row r="22" ht="24" customHeight="1">
      <ns0:c r="A22" s="36" t="str">
        <ns0:f>IF(AND('Pricing V2'!B33="Yes",'Pricing V2'!C33="SH"),'Pricing V2'!A33,"")</ns0:f>
      </ns0:c>
      <ns0:c r="B22" s="36" t="str">
        <ns0:f>IF(A22="","",'Pricing V2'!G33)</ns0:f>
      </ns0:c>
      <ns0:c r="C22" s="36"/>
      <ns0:c r="D22" s="36"/>
      <ns0:c r="E22" s="36"/>
      <ns0:c r="F22" s="41" t="str">
        <ns0:f>IF(AND(A22&lt;&gt;"",'Pricing V2'!B72="Ready to issue"),'Pricing V2'!N33,"")</ns0:f>
      </ns0:c>
    </ns0:row>
    <ns0:row r="23" ht="24" customHeight="1">
      <ns0:c r="A23" s="36" t="str">
        <ns0:f>IF(AND('Pricing V2'!B34="Yes",'Pricing V2'!C34="SH"),'Pricing V2'!A34,"")</ns0:f>
      </ns0:c>
      <ns0:c r="B23" s="36" t="str">
        <ns0:f>IF(A23="","",'Pricing V2'!G34)</ns0:f>
      </ns0:c>
      <ns0:c r="C23" s="36"/>
      <ns0:c r="D23" s="36"/>
      <ns0:c r="E23" s="36"/>
      <ns0:c r="F23" s="41" t="str">
        <ns0:f>IF(AND(A23&lt;&gt;"",'Pricing V2'!B72="Ready to issue"),'Pricing V2'!N34,"")</ns0:f>
      </ns0:c>
    </ns0:row>
    <ns0:row r="24" ht="24" customHeight="1">
      <ns0:c r="A24" s="36"/>
      <ns0:c r="B24" s="36"/>
      <ns0:c r="C24" s="36"/>
      <ns0:c r="D24" s="36"/>
      <ns0:c r="E24" s="36"/>
      <ns0:c r="F24" s="41"/>
    </ns0:row>
    <ns0:row r="25" ht="24" customHeight="1">
      <ns0:c r="A25" s="36" t="str">
        <ns0:v>SH subtotal excluding GST</ns0:v>
      </ns0:c>
      <ns0:c r="B25" s="36"/>
      <ns0:c r="C25" s="36"/>
      <ns0:c r="D25" s="36"/>
      <ns0:c r="E25" s="36"/>
      <ns0:c r="F25" s="41" t="str">
        <ns0:f>IF('Pricing V2'!B72="Ready to issue",'Pricing V2'!B50,"")</ns0:f>
      </ns0:c>
    </ns0:row>
    <ns0:row r="26" ht="24" customHeight="1">
      <ns0:c r="A26" s="36" t="str">
        <ns0:v>GST</ns0:v>
      </ns0:c>
      <ns0:c r="B26" s="36"/>
      <ns0:c r="C26" s="36"/>
      <ns0:c r="D26" s="36"/>
      <ns0:c r="E26" s="36"/>
      <ns0:c r="F26" s="41" t="str">
        <ns0:f>IF('Pricing V2'!B72="Ready to issue",'Pricing V2'!B51,"")</ns0:f>
      </ns0:c>
    </ns0:row>
    <ns0:row r="27" ht="28" customHeight="1">
      <ns0:c r="A27" s="89" t="str">
        <ns0:v>SH total including GST</ns0:v>
      </ns0:c>
      <ns0:c r="B27" s="89"/>
      <ns0:c r="C27" s="89"/>
      <ns0:c r="D27" s="89"/>
      <ns0:c r="E27" s="89"/>
      <ns0:c r="F27" s="94" t="str">
        <ns0:f>IF('Pricing V2'!B72="Ready to issue",'Pricing V2'!B52,"")</ns0:f>
      </ns0:c>
    </ns0:row>
    <ns0:row r="28" ht="24" customHeight="1">
      <ns0:c r="A28" s="36"/>
      <ns0:c r="B28" s="36"/>
      <ns0:c r="C28" s="36"/>
      <ns0:c r="D28" s="36"/>
      <ns0:c r="E28" s="36"/>
      <ns0:c r="F28" s="41"/>
    </ns0:row>
    <ns0:row r="29" ht="24" customHeight="1">
      <ns0:c r="A29" s="36" t="str">
        <ns0:v>Customer-contracted work budget excl. GST</ns0:v>
      </ns0:c>
      <ns0:c r="B29" s="36"/>
      <ns0:c r="C29" s="36"/>
      <ns0:c r="D29" s="36"/>
      <ns0:c r="E29" s="36"/>
      <ns0:c r="F29" s="41" t="str">
        <ns0:f>IF('Pricing V2'!B72="Ready to issue",'Pricing V2'!B48,"")</ns0:f>
      </ns0:c>
    </ns0:row>
    <ns0:row r="30" ht="36" customHeight="1">
      <ns0:c r="A30" s="39" t="str">
        <ns0:v>Customer-contracted work is an estimate paid directly to customer-appointed trades, separate from SH charges.</ns0:v>
      </ns0:c>
      <ns0:c r="B30" s="39"/>
      <ns0:c r="C30" s="39"/>
      <ns0:c r="D30" s="39"/>
      <ns0:c r="E30" s="39"/>
      <ns0:c r="F30" s="39"/>
    </ns0:row>
    <ns0:row r="31" ht="24" customHeight="1">
      <ns0:c r="A31" s="36"/>
      <ns0:c r="B31" s="36"/>
      <ns0:c r="C31" s="36"/>
      <ns0:c r="D31" s="36"/>
      <ns0:c r="E31" s="36"/>
      <ns0:c r="F31" s="36"/>
    </ns0:row>
    <ns0:row r="32" ht="28" customHeight="1">
      <ns0:c r="A32" s="89" t="str">
        <ns0:v>Included scope</ns0:v>
      </ns0:c>
      <ns0:c r="B32" s="89"/>
      <ns0:c r="C32" s="89"/>
      <ns0:c r="D32" s="89"/>
      <ns0:c r="E32" s="89"/>
      <ns0:c r="F32" s="89"/>
    </ns0:row>
    <ns0:row r="33" ht="24" customHeight="1">
      <ns0:c r="A33" s="39" t="str">
        <ns0:f>IF('SH Pricing'!B17="","",'SH Pricing'!B17)</ns0:f>
      </ns0:c>
      <ns0:c r="B33" s="39"/>
      <ns0:c r="C33" s="39"/>
      <ns0:c r="D33" s="39"/>
      <ns0:c r="E33" s="39"/>
      <ns0:c r="F33" s="39"/>
    </ns0:row>
    <ns0:row r="34" ht="24" customHeight="1">
      <ns0:c r="A34" s="39"/>
      <ns0:c r="B34" s="39"/>
      <ns0:c r="C34" s="39"/>
      <ns0:c r="D34" s="39"/>
      <ns0:c r="E34" s="39"/>
      <ns0:c r="F34" s="39"/>
    </ns0:row>
    <ns0:row r="35" ht="24" customHeight="1">
      <ns0:c r="A35" s="39"/>
      <ns0:c r="B35" s="39"/>
      <ns0:c r="C35" s="39"/>
      <ns0:c r="D35" s="39"/>
      <ns0:c r="E35" s="39"/>
      <ns0:c r="F35" s="39"/>
    </ns0:row>
    <ns0:row r="36" ht="24" customHeight="1">
      <ns0:c r="A36" s="39"/>
      <ns0:c r="B36" s="39"/>
      <ns0:c r="C36" s="39"/>
      <ns0:c r="D36" s="39"/>
      <ns0:c r="E36" s="39"/>
      <ns0:c r="F36" s="39"/>
    </ns0:row>
    <ns0:row r="37" ht="28" customHeight="1">
      <ns0:c r="A37" s="89" t="str">
        <ns0:v>Excluded scope</ns0:v>
      </ns0:c>
      <ns0:c r="B37" s="89"/>
      <ns0:c r="C37" s="89"/>
      <ns0:c r="D37" s="89"/>
      <ns0:c r="E37" s="89"/>
      <ns0:c r="F37" s="89"/>
    </ns0:row>
    <ns0:row r="38" ht="24" customHeight="1">
      <ns0:c r="A38" s="39" t="str">
        <ns0:f>IF('SH Pricing'!B18="","",'SH Pricing'!B18)</ns0:f>
        <ns0:v>Slab, earthworks, erection, site labour, consent and engineering services unless expressly included above.</ns0:v>
      </ns0:c>
      <ns0:c r="B38" s="39"/>
      <ns0:c r="C38" s="39"/>
      <ns0:c r="D38" s="39"/>
      <ns0:c r="E38" s="39"/>
      <ns0:c r="F38" s="39"/>
    </ns0:row>
    <ns0:row r="39" ht="24" customHeight="1">
      <ns0:c r="A39" s="39"/>
      <ns0:c r="B39" s="39"/>
      <ns0:c r="C39" s="39"/>
      <ns0:c r="D39" s="39"/>
      <ns0:c r="E39" s="39"/>
      <ns0:c r="F39" s="39"/>
    </ns0:row>
    <ns0:row r="40" ht="24" customHeight="1">
      <ns0:c r="A40" s="39"/>
      <ns0:c r="B40" s="39"/>
      <ns0:c r="C40" s="39"/>
      <ns0:c r="D40" s="39"/>
      <ns0:c r="E40" s="39"/>
      <ns0:c r="F40" s="39"/>
    </ns0:row>
    <ns0:row r="41" ht="24" customHeight="1">
      <ns0:c r="A41" s="39"/>
      <ns0:c r="B41" s="39"/>
      <ns0:c r="C41" s="39"/>
      <ns0:c r="D41" s="39"/>
      <ns0:c r="E41" s="39"/>
      <ns0:c r="F41" s="39"/>
    </ns0:row>
    <ns0:row r="42" ht="28" customHeight="1">
      <ns0:c r="A42" s="89" t="str">
        <ns0:v>Payment and supply terms</ns0:v>
      </ns0:c>
      <ns0:c r="B42" s="89"/>
      <ns0:c r="C42" s="89"/>
      <ns0:c r="D42" s="89"/>
      <ns0:c r="E42" s="89"/>
      <ns0:c r="F42" s="89"/>
    </ns0:row>
    <ns0:row r="43" ht="24" customHeight="1">
      <ns0:c r="A43" s="39" t="str">
        <ns0:f>IF('SH Pricing'!B19="","",'SH Pricing'!B19)</ns0:f>
      </ns0:c>
      <ns0:c r="B43" s="39"/>
      <ns0:c r="C43" s="39"/>
      <ns0:c r="D43" s="39"/>
      <ns0:c r="E43" s="39"/>
      <ns0:c r="F43" s="39"/>
    </ns0:row>
    <ns0:row r="44" ht="24" customHeight="1">
      <ns0:c r="A44" s="39"/>
      <ns0:c r="B44" s="39"/>
      <ns0:c r="C44" s="39"/>
      <ns0:c r="D44" s="39"/>
      <ns0:c r="E44" s="39"/>
      <ns0:c r="F44" s="39"/>
    </ns0:row>
    <ns0:row r="45" ht="24" customHeight="1">
      <ns0:c r="A45" s="39"/>
      <ns0:c r="B45" s="39"/>
      <ns0:c r="C45" s="39"/>
      <ns0:c r="D45" s="39"/>
      <ns0:c r="E45" s="39"/>
      <ns0:c r="F45" s="39"/>
    </ns0:row>
    <ns0:row r="46" ht="24" customHeight="1">
      <ns0:c r="A46" s="39"/>
      <ns0:c r="B46" s="39"/>
      <ns0:c r="C46" s="39"/>
      <ns0:c r="D46" s="39"/>
      <ns0:c r="E46" s="39"/>
      <ns0:c r="F46" s="39"/>
    </ns0:row>
    <ns0:row r="47" ht="24" customHeight="1">
      <ns0:c r="A47" s="36"/>
      <ns0:c r="B47" s="36"/>
      <ns0:c r="C47" s="36"/>
      <ns0:c r="D47" s="36"/>
      <ns0:c r="E47" s="36"/>
      <ns0:c r="F47" s="36"/>
    </ns0:row>
    <ns0:row r="48" ht="36" customHeight="1">
      <ns0:c r="A48" s="39" t="str">
        <ns0:v>Export this sheet only to PDF. Internal rates, costs and profitability are restricted to Shed House.</ns0:v>
      </ns0:c>
      <ns0:c r="B48" s="39"/>
      <ns0:c r="C48" s="39"/>
      <ns0:c r="D48" s="39"/>
      <ns0:c r="E48" s="39"/>
      <ns0:c r="F48" s="39"/>
    </ns0:row>
    <ns0:row r="49" ht="24" customHeight="1">
      <ns0:c r="A49" s="36"/>
      <ns0:c r="B49" s="36"/>
      <ns0:c r="C49" s="36"/>
      <ns0:c r="D49" s="36"/>
      <ns0:c r="E49" s="36"/>
      <ns0:c r="F49" s="36"/>
    </ns0:row>
    <ns0:row r="50" ht="24" customHeight="1">
      <ns0:c r="A50" s="36"/>
      <ns0:c r="B50" s="36"/>
      <ns0:c r="C50" s="36"/>
      <ns0:c r="D50" s="36"/>
      <ns0:c r="E50" s="36"/>
      <ns0:c r="F50" s="36"/>
    </ns0:row>
    <ns0:row r="51" ht="24" customHeight="1">
      <ns0:c r="A51" s="36"/>
      <ns0:c r="B51" s="36"/>
      <ns0:c r="C51" s="36"/>
      <ns0:c r="D51" s="36"/>
      <ns0:c r="E51" s="36"/>
      <ns0:c r="F51" s="36"/>
    </ns0:row>
    <ns0:row r="52" ht="24" customHeight="1">
      <ns0:c r="A52" s="36"/>
      <ns0:c r="B52" s="36"/>
      <ns0:c r="C52" s="36"/>
      <ns0:c r="D52" s="36"/>
      <ns0:c r="E52" s="36"/>
      <ns0:c r="F52" s="36"/>
    </ns0:row>
    <ns0:row r="53" ht="24" customHeight="1">
      <ns0:c r="A53" s="36"/>
      <ns0:c r="B53" s="36"/>
      <ns0:c r="C53" s="36"/>
      <ns0:c r="D53" s="36"/>
      <ns0:c r="E53" s="36"/>
      <ns0:c r="F53" s="36"/>
    </ns0:row>
    <ns0:row r="54" ht="24" customHeight="1">
      <ns0:c r="A54" s="36"/>
      <ns0:c r="B54" s="36"/>
      <ns0:c r="C54" s="36"/>
      <ns0:c r="D54" s="36"/>
      <ns0:c r="E54" s="36"/>
      <ns0:c r="F54" s="36"/>
    </ns0:row>
    <ns0:row r="55" ht="24" customHeight="1">
      <ns0:c r="A55" s="36"/>
      <ns0:c r="B55" s="36"/>
      <ns0:c r="C55" s="36"/>
      <ns0:c r="D55" s="36"/>
      <ns0:c r="E55" s="36"/>
      <ns0:c r="F55" s="36"/>
    </ns0:row>
    <ns0:row r="56" ht="24" customHeight="1">
      <ns0:c r="A56" s="36"/>
      <ns0:c r="B56" s="36"/>
      <ns0:c r="C56" s="36"/>
      <ns0:c r="D56" s="36"/>
      <ns0:c r="E56" s="36"/>
      <ns0:c r="F56" s="36"/>
    </ns0:row>
    <ns0:row r="57" ht="24" customHeight="1">
      <ns0:c r="A57" s="36"/>
      <ns0:c r="B57" s="36"/>
      <ns0:c r="C57" s="36"/>
      <ns0:c r="D57" s="36"/>
      <ns0:c r="E57" s="36"/>
      <ns0:c r="F57" s="36"/>
    </ns0:row>
    <ns0:row r="58" ht="24" customHeight="1">
      <ns0:c r="A58" s="36"/>
      <ns0:c r="B58" s="36"/>
      <ns0:c r="C58" s="36"/>
      <ns0:c r="D58" s="36"/>
      <ns0:c r="E58" s="36"/>
      <ns0:c r="F58" s="36"/>
    </ns0:row>
    <ns0:row r="59" ht="24" customHeight="1">
      <ns0:c r="A59" s="36"/>
      <ns0:c r="B59" s="36"/>
      <ns0:c r="C59" s="36"/>
      <ns0:c r="D59" s="36"/>
      <ns0:c r="E59" s="36"/>
      <ns0:c r="F59" s="36"/>
    </ns0:row>
    <ns0:row r="60" ht="24" customHeight="1">
      <ns0:c r="A60" s="36"/>
      <ns0:c r="B60" s="36"/>
      <ns0:c r="C60" s="36"/>
      <ns0:c r="D60" s="36"/>
      <ns0:c r="E60" s="36"/>
      <ns0:c r="F60" s="36"/>
    </ns0:row>
    <ns0:row r="61" ht="24" customHeight="1">
      <ns0:c r="A61" s="36"/>
      <ns0:c r="B61" s="36"/>
      <ns0:c r="C61" s="36"/>
      <ns0:c r="D61" s="36"/>
      <ns0:c r="E61" s="36"/>
      <ns0:c r="F61" s="36"/>
    </ns0:row>
    <ns0:row r="62" ht="24" customHeight="1">
      <ns0:c r="A62" s="36"/>
      <ns0:c r="B62" s="36"/>
      <ns0:c r="C62" s="36"/>
      <ns0:c r="D62" s="36"/>
      <ns0:c r="E62" s="36"/>
      <ns0:c r="F62" s="36"/>
    </ns0:row>
    <ns0:row r="63" ht="24" customHeight="1">
      <ns0:c r="A63" s="36"/>
      <ns0:c r="B63" s="36"/>
      <ns0:c r="C63" s="36"/>
      <ns0:c r="D63" s="36"/>
      <ns0:c r="E63" s="36"/>
      <ns0:c r="F63" s="36"/>
    </ns0:row>
    <ns0:row r="64" ht="24" customHeight="1">
      <ns0:c r="A64" s="36"/>
      <ns0:c r="B64" s="36"/>
      <ns0:c r="C64" s="36"/>
      <ns0:c r="D64" s="36"/>
      <ns0:c r="E64" s="36"/>
      <ns0:c r="F64" s="36"/>
    </ns0:row>
    <ns0:row r="65" ht="24" customHeight="1">
      <ns0:c r="A65" s="36"/>
      <ns0:c r="B65" s="36"/>
      <ns0:c r="C65" s="36"/>
      <ns0:c r="D65" s="36"/>
      <ns0:c r="E65" s="36"/>
      <ns0:c r="F65" s="36"/>
    </ns0:row>
  </ns0:sheetData>
  <ns0:sheetProtection sheet="1" objects="1" scenarios="1" selectLockedCells="0" selectUnlockedCells="0"/>
  <ns0:mergeCells>
    <ns0:mergeCell ref="A2:F2"/>
    <ns0:mergeCell ref="B4:F4"/>
    <ns0:mergeCell ref="B6:F6"/>
    <ns0:mergeCell ref="B7:F7"/>
    <ns0:mergeCell ref="B8:F8"/>
    <ns0:mergeCell ref="B9:F9"/>
    <ns0:mergeCell ref="B10:F10"/>
    <ns0:mergeCell ref="B11:F11"/>
    <ns0:mergeCell ref="B12:F12"/>
    <ns0:mergeCell ref="B16:E16"/>
    <ns0:mergeCell ref="B17:E17"/>
    <ns0:mergeCell ref="B18:E18"/>
    <ns0:mergeCell ref="B19:E19"/>
    <ns0:mergeCell ref="B20:E20"/>
    <ns0:mergeCell ref="B21:E21"/>
    <ns0:mergeCell ref="B22:E22"/>
    <ns0:mergeCell ref="B23:E23"/>
    <ns0:mergeCell ref="A29:E29"/>
    <ns0:mergeCell ref="A30:F30"/>
    <ns0:mergeCell ref="A33:F36"/>
    <ns0:mergeCell ref="A38:F41"/>
    <ns0:mergeCell ref="A43:F46"/>
    <ns0:mergeCell ref="A48:F48"/>
  </ns0:mergeCells>
  <ns0:conditionalFormatting sqref="B4:B4">
    <ns0:cfRule type="cellIs" dxfId="1" priority="1" operator="notEqual">
      <ns0:formula>"Ready to issue"</ns0:formula>
    </ns0:cfRule>
  </ns0:conditionalFormatting>
  <ns0:pageMargins left="0.7" right="0.7" top="0.75" bottom="0.75" header="0.3" footer="0.3"/>
  <ns0:drawing ns1:id="R383826d52e3640ec"/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tabColor rgb="FF20353C"/>
  </ns0:sheetPr>
  <ns0:sheetViews>
    <ns0:sheetView showGridLines="0" workbookViewId="0"/>
  </ns0:sheetViews>
  <ns0:sheetFormatPr defaultRowHeight="15"/>
  <ns0:cols>
    <ns0:col min="1" max="1" width="41" hidden="0" customWidth="1"/>
    <ns0:col min="2" max="2" width="25" hidden="0" customWidth="1"/>
    <ns0:col min="3" max="3" width="21" hidden="0" customWidth="1"/>
    <ns0:col min="4" max="4" width="35" hidden="0" customWidth="1"/>
    <ns0:col min="5" max="5" width="20" hidden="0" customWidth="1"/>
    <ns0:col min="6" max="6" width="20" hidden="0" customWidth="1"/>
    <ns0:col min="7" max="7" width="20" hidden="0" customWidth="1"/>
    <ns0:col min="8" max="8" width="20" hidden="0" customWidth="1"/>
  </ns0:cols>
  <ns0:sheetData>
    <ns0:row r="1" ht="135" customHeight="1">
      <ns0:c r="A1" s="36"/>
      <ns0:c r="B1" s="36"/>
      <ns0:c r="C1" s="36"/>
      <ns0:c r="D1" s="36"/>
      <ns0:c r="E1" s="36"/>
      <ns0:c r="F1" s="36"/>
      <ns0:c r="G1" s="36"/>
      <ns0:c r="H1" s="36"/>
    </ns0:row>
    <ns0:row r="2" ht="30" customHeight="1">
      <ns0:c r="A2" s="48" t="str">
        <ns0:v>SH supply cost inputs</ns0:v>
      </ns0:c>
      <ns0:c r="B2" s="49"/>
      <ns0:c r="C2" s="49"/>
      <ns0:c r="D2" s="49"/>
      <ns0:c r="E2" s="49"/>
      <ns0:c r="F2" s="49"/>
      <ns0:c r="G2" s="49"/>
      <ns0:c r="H2" s="49"/>
    </ns0:row>
    <ns0:row r="3" ht="23" customHeight="1">
      <ns0:c r="A3" s="36" t="str">
        <ns0:v>Enter supplier costs below. Pricing V2 owns margins, scope, approval and customer totals.</ns0:v>
      </ns0:c>
      <ns0:c r="B3" s="36"/>
      <ns0:c r="C3" s="36"/>
      <ns0:c r="D3" s="36"/>
      <ns0:c r="E3" s="36"/>
      <ns0:c r="F3" s="36"/>
      <ns0:c r="G3" s="36"/>
      <ns0:c r="H3" s="36"/>
    </ns0:row>
    <ns0:row r="4" ht="23" customHeight="1">
      <ns0:c r="A4" s="36"/>
      <ns0:c r="B4" s="36"/>
      <ns0:c r="C4" s="36"/>
      <ns0:c r="D4" s="36"/>
      <ns0:c r="E4" s="36"/>
      <ns0:c r="F4" s="36"/>
      <ns0:c r="G4" s="36"/>
      <ns0:c r="H4" s="36"/>
    </ns0:row>
    <ns0:row r="5" ht="23" customHeight="1">
      <ns0:c r="A5" s="36" t="str">
        <ns0:v>Base proposal number (1–5)</ns0:v>
      </ns0:c>
      <ns0:c r="B5" s="97" t="n">
        <ns0:v>1</ns0:v>
      </ns0:c>
      <ns0:c r="C5" s="36"/>
      <ns0:c r="D5" s="36" t="str">
        <ns0:v>Historical base</ns0:v>
      </ns0:c>
      <ns0:c r="E5" s="36" t="str">
        <ns0:f>INDEX('Base Proposals'!B6:B10,B5)</ns0:f>
        <ns0:v>MILNE 100114</ns0:v>
      </ns0:c>
      <ns0:c r="F5" s="36"/>
      <ns0:c r="G5" s="36"/>
      <ns0:c r="H5" s="36"/>
    </ns0:row>
    <ns0:row r="6" ht="23" customHeight="1">
      <ns0:c r="A6" s="36"/>
      <ns0:c r="B6" s="36"/>
      <ns0:c r="C6" s="36"/>
      <ns0:c r="D6" s="36"/>
      <ns0:c r="E6" s="36"/>
      <ns0:c r="F6" s="36"/>
      <ns0:c r="G6" s="36"/>
      <ns0:c r="H6" s="36"/>
    </ns0:row>
    <ns0:row r="7" ht="23" customHeight="1">
      <ns0:c r="A7" s="36" t="str">
        <ns0:v>Customer</ns0:v>
      </ns0:c>
      <ns0:c r="B7" s="97"/>
      <ns0:c r="C7" s="36"/>
      <ns0:c r="D7" s="36" t="str">
        <ns0:v>Base length (m)</ns0:v>
      </ns0:c>
      <ns0:c r="E7" s="36" t="n">
        <ns0:f>INDEX('Base Proposals'!D6:D10,B5)</ns0:f>
        <ns0:v>30</ns0:v>
      </ns0:c>
      <ns0:c r="F7" s="36"/>
      <ns0:c r="G7" s="36"/>
      <ns0:c r="H7" s="36"/>
    </ns0:row>
    <ns0:row r="8" ht="23" customHeight="1">
      <ns0:c r="A8" s="36" t="str">
        <ns0:v>Site address</ns0:v>
      </ns0:c>
      <ns0:c r="B8" s="98"/>
      <ns0:c r="C8" s="59"/>
      <ns0:c r="D8" s="59"/>
      <ns0:c r="E8" s="59"/>
      <ns0:c r="F8" s="59"/>
      <ns0:c r="G8" s="59"/>
      <ns0:c r="H8" s="59"/>
    </ns0:row>
    <ns0:row r="9" ht="23" customHeight="1">
      <ns0:c r="A9" s="36" t="str">
        <ns0:v>Quote reference</ns0:v>
      </ns0:c>
      <ns0:c r="B9" s="97"/>
      <ns0:c r="C9" s="36"/>
      <ns0:c r="D9" s="36" t="str">
        <ns0:v>Base span / knee (m)</ns0:v>
      </ns0:c>
      <ns0:c r="E9" s="36" t="str">
        <ns0:f>INDEX('Base Proposals'!E6:E10,B5)&amp;" / "&amp;INDEX('Base Proposals'!F6:F10,B5)</ns0:f>
        <ns0:v>10 / 3.2</ns0:v>
      </ns0:c>
      <ns0:c r="F9" s="36"/>
      <ns0:c r="G9" s="36"/>
      <ns0:c r="H9" s="36"/>
    </ns0:row>
    <ns0:row r="10" ht="23" customHeight="1">
      <ns0:c r="A10" s="36" t="str">
        <ns0:v>Quote date</ns0:v>
      </ns0:c>
      <ns0:c r="B10" s="99" t="d">
        <ns0:v>2026-10-15T00:00:00.000Z</ns0:v>
      </ns0:c>
      <ns0:c r="C10" s="36"/>
      <ns0:c r="D10" s="36" t="str">
        <ns0:v>Price method</ns0:v>
      </ns0:c>
      <ns0:c r="E10" s="67" t="str">
        <ns0:v>Gross margin</ns0:v>
      </ns0:c>
      <ns0:c r="F10" s="36"/>
      <ns0:c r="G10" s="36"/>
      <ns0:c r="H10" s="36"/>
    </ns0:row>
    <ns0:row r="11" ht="23" customHeight="1">
      <ns0:c r="A11" s="36" t="str">
        <ns0:v>Valid until</ns0:v>
      </ns0:c>
      <ns0:c r="B11" s="99"/>
      <ns0:c r="C11" s="36"/>
      <ns0:c r="D11" s="36" t="str">
        <ns0:v>Historical markup</ns0:v>
      </ns0:c>
      <ns0:c r="E11" s="61" t="n">
        <ns0:f>INDEX('Base Proposals'!J6:J10,B5)</ns0:f>
        <ns0:v>0.47</ns0:v>
      </ns0:c>
      <ns0:c r="F11" s="36"/>
      <ns0:c r="G11" s="36"/>
      <ns0:c r="H11" s="36"/>
    </ns0:row>
    <ns0:row r="12" ht="23" customHeight="1">
      <ns0:c r="A12" s="36" t="str">
        <ns0:v>Current costs confirmed?</ns0:v>
      </ns0:c>
      <ns0:c r="B12" s="97" t="str">
        <ns0:v>No</ns0:v>
      </ns0:c>
      <ns0:c r="C12" s="36"/>
      <ns0:c r="D12" s="36" t="str">
        <ns0:v>V2 kit gross margin</ns0:v>
      </ns0:c>
      <ns0:c r="E12" s="73" t="n">
        <ns0:f>'Pricing V2'!B14</ns0:f>
        <ns0:v>0.3</ns0:v>
      </ns0:c>
      <ns0:c r="F12" s="36"/>
      <ns0:c r="G12" s="36"/>
      <ns0:c r="H12" s="36"/>
    </ns0:row>
    <ns0:row r="13" ht="23" customHeight="1">
      <ns0:c r="A13" s="36" t="str">
        <ns0:v>Scope and terms confirmed?</ns0:v>
      </ns0:c>
      <ns0:c r="B13" s="97" t="str">
        <ns0:v>No</ns0:v>
      </ns0:c>
      <ns0:c r="C13" s="36"/>
      <ns0:c r="D13" s="36" t="str">
        <ns0:v>GST rate (source template)</ns0:v>
      </ns0:c>
      <ns0:c r="E13" s="100" t="n">
        <ns0:v>0.15</ns0:v>
      </ns0:c>
      <ns0:c r="F13" s="36"/>
      <ns0:c r="G13" s="36"/>
      <ns0:c r="H13" s="36"/>
    </ns0:row>
    <ns0:row r="14" ht="23" customHeight="1">
      <ns0:c r="A14" s="36" t="str">
        <ns0:v>Supplier quote reference</ns0:v>
      </ns0:c>
      <ns0:c r="B14" s="98"/>
      <ns0:c r="C14" s="59"/>
      <ns0:c r="D14" s="59"/>
      <ns0:c r="E14" s="59"/>
      <ns0:c r="F14" s="59"/>
      <ns0:c r="G14" s="59"/>
      <ns0:c r="H14" s="59"/>
    </ns0:row>
    <ns0:row r="15" ht="23" customHeight="1">
      <ns0:c r="A15" s="36"/>
      <ns0:c r="B15" s="36"/>
      <ns0:c r="C15" s="36"/>
      <ns0:c r="D15" s="36"/>
      <ns0:c r="E15" s="36"/>
      <ns0:c r="F15" s="36"/>
      <ns0:c r="G15" s="36"/>
      <ns0:c r="H15" s="36"/>
    </ns0:row>
    <ns0:row r="16" ht="42" customHeight="1">
      <ns0:c r="A16" s="36" t="str">
        <ns0:v>Building specification</ns0:v>
      </ns0:c>
      <ns0:c r="B16" s="98"/>
      <ns0:c r="C16" s="59"/>
      <ns0:c r="D16" s="59"/>
      <ns0:c r="E16" s="59"/>
      <ns0:c r="F16" s="59"/>
      <ns0:c r="G16" s="59"/>
      <ns0:c r="H16" s="59"/>
    </ns0:row>
    <ns0:row r="17" ht="42" customHeight="1">
      <ns0:c r="A17" s="36" t="str">
        <ns0:v>Included supply</ns0:v>
      </ns0:c>
      <ns0:c r="B17" s="98"/>
      <ns0:c r="C17" s="59"/>
      <ns0:c r="D17" s="59"/>
      <ns0:c r="E17" s="59"/>
      <ns0:c r="F17" s="59"/>
      <ns0:c r="G17" s="59"/>
      <ns0:c r="H17" s="59"/>
    </ns0:row>
    <ns0:row r="18" ht="42" customHeight="1">
      <ns0:c r="A18" s="36" t="str">
        <ns0:v>Excluded work</ns0:v>
      </ns0:c>
      <ns0:c r="B18" s="98" t="str">
        <ns0:v>Slab, earthworks, erection, site labour, consent and engineering services unless expressly included above.</ns0:v>
      </ns0:c>
      <ns0:c r="C18" s="59"/>
      <ns0:c r="D18" s="59"/>
      <ns0:c r="E18" s="59"/>
      <ns0:c r="F18" s="59"/>
      <ns0:c r="G18" s="59"/>
      <ns0:c r="H18" s="59"/>
    </ns0:row>
    <ns0:row r="19" ht="42" customHeight="1">
      <ns0:c r="A19" s="36" t="str">
        <ns0:v>Supply and payment terms</ns0:v>
      </ns0:c>
      <ns0:c r="B19" s="98"/>
      <ns0:c r="C19" s="59"/>
      <ns0:c r="D19" s="59"/>
      <ns0:c r="E19" s="59"/>
      <ns0:c r="F19" s="59"/>
      <ns0:c r="G19" s="59"/>
      <ns0:c r="H19" s="59"/>
    </ns0:row>
    <ns0:row r="20" ht="23" customHeight="1">
      <ns0:c r="A20" s="36" t="str">
        <ns0:v>Supplier / kit reference</ns0:v>
      </ns0:c>
      <ns0:c r="B20" s="98"/>
      <ns0:c r="C20" s="59"/>
      <ns0:c r="D20" s="59"/>
      <ns0:c r="E20" s="59"/>
      <ns0:c r="F20" s="59"/>
      <ns0:c r="G20" s="59"/>
      <ns0:c r="H20" s="59"/>
    </ns0:row>
    <ns0:row r="21" ht="23" customHeight="1">
      <ns0:c r="A21" s="36"/>
      <ns0:c r="B21" s="36"/>
      <ns0:c r="C21" s="36"/>
      <ns0:c r="D21" s="36"/>
      <ns0:c r="E21" s="36"/>
      <ns0:c r="F21" s="36"/>
      <ns0:c r="G21" s="36"/>
      <ns0:c r="H21" s="36"/>
    </ns0:row>
    <ns0:row r="22" ht="23" customHeight="1">
      <ns0:c r="A22" s="36"/>
      <ns0:c r="B22" s="36"/>
      <ns0:c r="C22" s="36"/>
      <ns0:c r="D22" s="36"/>
      <ns0:c r="E22" s="36"/>
      <ns0:c r="F22" s="36"/>
      <ns0:c r="G22" s="36"/>
      <ns0:c r="H22" s="36"/>
    </ns0:row>
    <ns0:row r="23" ht="26" customHeight="1">
      <ns0:c r="A23" s="45" t="str">
        <ns0:v>Cost item</ns0:v>
      </ns0:c>
      <ns0:c r="B23" s="45" t="str">
        <ns0:v>Historical cost</ns0:v>
      </ns0:c>
      <ns0:c r="C23" s="45" t="str">
        <ns0:v>Current cost</ns0:v>
      </ns0:c>
      <ns0:c r="D23" s="45" t="str">
        <ns0:v>Active cost</ns0:v>
      </ns0:c>
      <ns0:c r="E23" s="45" t="str">
        <ns0:v>Basis</ns0:v>
      </ns0:c>
      <ns0:c r="F23" s="45" t="str">
        <ns0:v>Comparable?</ns0:v>
      </ns0:c>
      <ns0:c r="G23" s="45"/>
      <ns0:c r="H23" s="45"/>
    </ns0:row>
    <ns0:row r="24" ht="23" customHeight="1">
      <ns0:c r="A24" s="36" t="str">
        <ns0:v>Primary kit supply</ns0:v>
      </ns0:c>
      <ns0:c r="B24" s="41" t="n">
        <ns0:f>INDEX('Base Proposals'!G6:G10,$B$5)</ns0:f>
        <ns0:v>63927.38</ns0:v>
      </ns0:c>
      <ns0:c r="C24" s="101"/>
      <ns0:c r="D24" s="41" t="n">
        <ns0:f>IF(C24="",B24,C24)</ns0:f>
        <ns0:v>63927.38</ns0:v>
      </ns0:c>
      <ns0:c r="E24" s="36" t="str">
        <ns0:v>Blank current cost uses historical cost.</ns0:v>
      </ns0:c>
      <ns0:c r="F24" s="102" t="str">
        <ns0:v>Yes</ns0:v>
      </ns0:c>
      <ns0:c r="G24" s="36"/>
      <ns0:c r="H24" s="36"/>
    </ns0:row>
    <ns0:row r="25" ht="23" customHeight="1">
      <ns0:c r="A25" s="36" t="str">
        <ns0:v>Secondary kit / garage</ns0:v>
      </ns0:c>
      <ns0:c r="B25" s="41" t="n">
        <ns0:f>INDEX('Base Proposals'!H6:H10,$B$5)</ns0:f>
        <ns0:v>0</ns0:v>
      </ns0:c>
      <ns0:c r="C25" s="101"/>
      <ns0:c r="D25" s="41" t="n">
        <ns0:f>IF(C25="",B25,C25)</ns0:f>
        <ns0:v>0</ns0:v>
      </ns0:c>
      <ns0:c r="E25" s="36" t="str">
        <ns0:v>Use zero to exclude a historical item.</ns0:v>
      </ns0:c>
      <ns0:c r="F25" s="102" t="str">
        <ns0:v>Yes</ns0:v>
      </ns0:c>
      <ns0:c r="G25" s="36"/>
      <ns0:c r="H25" s="36"/>
    </ns0:row>
    <ns0:row r="26" ht="23" customHeight="1">
      <ns0:c r="A26" s="36" t="str">
        <ns0:v>Kit freight</ns0:v>
      </ns0:c>
      <ns0:c r="B26" s="41" t="n">
        <ns0:f>INDEX('Base Proposals'!I6:I10,$B$5)</ns0:f>
        <ns0:v>0</ns0:v>
      </ns0:c>
      <ns0:c r="C26" s="101"/>
      <ns0:c r="D26" s="41" t="n">
        <ns0:f>IF(C26="",B26,C26)</ns0:f>
        <ns0:v>0</ns0:v>
      </ns0:c>
      <ns0:c r="E26" s="36" t="str">
        <ns0:v>Enter freight as a dollar cost.</ns0:v>
      </ns0:c>
      <ns0:c r="F26" s="102" t="str">
        <ns0:v>Yes</ns0:v>
      </ns0:c>
      <ns0:c r="G26" s="36"/>
      <ns0:c r="H26" s="36"/>
    </ns0:row>
    <ns0:row r="27" ht="23" customHeight="1">
      <ns0:c r="A27" s="36" t="str">
        <ns0:v>PA door freight</ns0:v>
      </ns0:c>
      <ns0:c r="B27" s="41" t="n">
        <ns0:f>INDEX('Base Proposals'!L6:L10,$B$5)</ns0:f>
        <ns0:v>0</ns0:v>
      </ns0:c>
      <ns0:c r="C27" s="101"/>
      <ns0:c r="D27" s="41" t="n">
        <ns0:f>IF(C27="",B27,C27)</ns0:f>
        <ns0:v>0</ns0:v>
      </ns0:c>
      <ns0:c r="E27" s="36"/>
      <ns0:c r="F27" s="102" t="str">
        <ns0:v>Yes</ns0:v>
      </ns0:c>
      <ns0:c r="G27" s="36"/>
      <ns0:c r="H27" s="36"/>
    </ns0:row>
    <ns0:row r="28" ht="23" customHeight="1">
      <ns0:c r="A28" s="36" t="str">
        <ns0:v>Roller door freight</ns0:v>
      </ns0:c>
      <ns0:c r="B28" s="41" t="n">
        <ns0:f>INDEX('Base Proposals'!M6:M10,$B$5)</ns0:f>
        <ns0:v>0</ns0:v>
      </ns0:c>
      <ns0:c r="C28" s="101"/>
      <ns0:c r="D28" s="41" t="n">
        <ns0:f>IF(C28="",B28,C28)</ns0:f>
        <ns0:v>0</ns0:v>
      </ns0:c>
      <ns0:c r="E28" s="36"/>
      <ns0:c r="F28" s="102" t="str">
        <ns0:v>Yes</ns0:v>
      </ns0:c>
      <ns0:c r="G28" s="36"/>
      <ns0:c r="H28" s="36"/>
    </ns0:row>
    <ns0:row r="29" ht="23" customHeight="1">
      <ns0:c r="A29" s="36" t="str">
        <ns0:v>Delivery to site</ns0:v>
      </ns0:c>
      <ns0:c r="B29" s="41" t="n">
        <ns0:v>0</ns0:v>
      </ns0:c>
      <ns0:c r="C29" s="101"/>
      <ns0:c r="D29" s="41" t="n">
        <ns0:f>IF(C29="",B29,C29)</ns0:f>
        <ns0:v>0</ns0:v>
      </ns0:c>
      <ns0:c r="E29" s="36" t="str">
        <ns0:v>Zero means delivery is excluded or included in kit cost.</ns0:v>
      </ns0:c>
      <ns0:c r="F29" s="102" t="str">
        <ns0:v>Yes</ns0:v>
      </ns0:c>
      <ns0:c r="G29" s="36"/>
      <ns0:c r="H29" s="36"/>
    </ns0:row>
    <ns0:row r="30" ht="23" customHeight="1">
      <ns0:c r="A30" s="36" t="str">
        <ns0:v>Other supply extras</ns0:v>
      </ns0:c>
      <ns0:c r="B30" s="41" t="n">
        <ns0:v>0</ns0:v>
      </ns0:c>
      <ns0:c r="C30" s="101"/>
      <ns0:c r="D30" s="41" t="n">
        <ns0:f>IF(C30="",B30,C30)</ns0:f>
        <ns0:v>0</ns0:v>
      </ns0:c>
      <ns0:c r="E30" s="36"/>
      <ns0:c r="F30" s="102" t="str">
        <ns0:v>Yes</ns0:v>
      </ns0:c>
      <ns0:c r="G30" s="36"/>
      <ns0:c r="H30" s="36"/>
    </ns0:row>
    <ns0:row r="31" ht="23" customHeight="1">
      <ns0:c r="A31" s="36"/>
      <ns0:c r="B31" s="36"/>
      <ns0:c r="C31" s="36"/>
      <ns0:c r="D31" s="36"/>
      <ns0:c r="E31" s="36"/>
      <ns0:c r="F31" s="36"/>
      <ns0:c r="G31" s="36"/>
      <ns0:c r="H31" s="36"/>
    </ns0:row>
    <ns0:row r="32" ht="23" customHeight="1">
      <ns0:c r="A32" s="36" t="str">
        <ns0:v>Total supply cost</ns0:v>
      </ns0:c>
      <ns0:c r="B32" s="36"/>
      <ns0:c r="C32" s="36"/>
      <ns0:c r="D32" s="41" t="n">
        <ns0:f>SUM(D24:D30)</ns0:f>
        <ns0:v>63927.38</ns0:v>
      </ns0:c>
      <ns0:c r="E32" s="36"/>
      <ns0:c r="F32" s="36"/>
      <ns0:c r="G32" s="36"/>
      <ns0:c r="H32" s="36"/>
    </ns0:row>
    <ns0:row r="33" ht="23" customHeight="1">
      <ns0:c r="A33" s="36" t="str">
        <ns0:v>Active pricing rate</ns0:v>
      </ns0:c>
      <ns0:c r="B33" s="36"/>
      <ns0:c r="C33" s="36"/>
      <ns0:c r="D33" s="61" t="n">
        <ns0:f>'Pricing V2'!B14</ns0:f>
        <ns0:v>0.3</ns0:v>
      </ns0:c>
      <ns0:c r="E33" s="36"/>
      <ns0:c r="F33" s="36"/>
      <ns0:c r="G33" s="36"/>
      <ns0:c r="H33" s="36"/>
    </ns0:row>
    <ns0:row r="34" ht="23" customHeight="1">
      <ns0:c r="A34" s="36" t="str">
        <ns0:v>Pricing input check</ns0:v>
      </ns0:c>
      <ns0:c r="B34" s="36" t="str">
        <ns0:f>IF(OR(B5&lt;1,B5&gt;5,B5&lt;&gt;INT(B5)),"Select base 1–5",IF(OR(COUNT(D24:D30)&lt;&gt;7,MIN(D24:D30)&lt;0,D24&lt;=0),"Enter valid supply costs",IF(OR(NOT(ISNUMBER(D33)),D33&lt;0,AND(E10="Gross margin",D33&gt;=1)),"Enter a valid pricing rate",IF(OR(NOT(ISNUMBER(E13)),E13&lt;0,E13&gt;1),"Enter a valid GST rate",IF(AND(E10&lt;&gt;"Markup",E10&lt;&gt;"Gross margin"),"Select pricing method","Valid")))))</ns0:f>
        <ns0:v>Valid</ns0:v>
      </ns0:c>
      <ns0:c r="C34" s="36"/>
      <ns0:c r="D34" s="36"/>
      <ns0:c r="E34" s="36"/>
      <ns0:c r="F34" s="36"/>
      <ns0:c r="G34" s="36"/>
      <ns0:c r="H34" s="36"/>
    </ns0:row>
    <ns0:row r="35" ht="23" customHeight="1">
      <ns0:c r="A35" s="36"/>
      <ns0:c r="B35" s="36"/>
      <ns0:c r="C35" s="36"/>
      <ns0:c r="D35" s="36"/>
      <ns0:c r="E35" s="36"/>
      <ns0:c r="F35" s="36"/>
      <ns0:c r="G35" s="36"/>
      <ns0:c r="H35" s="36"/>
    </ns0:row>
    <ns0:row r="36" ht="23" customHeight="1">
      <ns0:c r="A36" s="36" t="str">
        <ns0:v>Selling price before rounding</ns0:v>
      </ns0:c>
      <ns0:c r="B36" s="36"/>
      <ns0:c r="C36" s="36"/>
      <ns0:c r="D36" s="36"/>
      <ns0:c r="E36" s="36"/>
      <ns0:c r="F36" s="41" t="n">
        <ns0:f>IF('Pricing V2'!B14&lt;1,D32/(1-'Pricing V2'!B14),"")</ns0:f>
        <ns0:v>91324.82857142857</ns0:v>
      </ns0:c>
      <ns0:c r="G36" s="36"/>
      <ns0:c r="H36" s="36"/>
    </ns0:row>
    <ns0:row r="37" ht="23" customHeight="1">
      <ns0:c r="A37" s="36" t="str">
        <ns0:v>Gross profit excl. GST</ns0:v>
      </ns0:c>
      <ns0:c r="B37" s="36"/>
      <ns0:c r="C37" s="36"/>
      <ns0:c r="D37" s="36"/>
      <ns0:c r="E37" s="36"/>
      <ns0:c r="F37" s="41" t="n">
        <ns0:f>'Pricing V2'!B42</ns0:f>
        <ns0:v>27397.45</ns0:v>
      </ns0:c>
      <ns0:c r="G37" s="36"/>
      <ns0:c r="H37" s="36"/>
    </ns0:row>
    <ns0:row r="38" ht="23" customHeight="1">
      <ns0:c r="A38" s="36" t="str">
        <ns0:v>Customer price excl. GST</ns0:v>
      </ns0:c>
      <ns0:c r="B38" s="36"/>
      <ns0:c r="C38" s="36"/>
      <ns0:c r="D38" s="36"/>
      <ns0:c r="E38" s="36"/>
      <ns0:c r="F38" s="41" t="n">
        <ns0:f>'Pricing V2'!B41</ns0:f>
        <ns0:v>91324.83</ns0:v>
      </ns0:c>
      <ns0:c r="G38" s="36"/>
      <ns0:c r="H38" s="36"/>
    </ns0:row>
    <ns0:row r="39" ht="23" customHeight="1">
      <ns0:c r="A39" s="36" t="str">
        <ns0:v>GST</ns0:v>
      </ns0:c>
      <ns0:c r="B39" s="36"/>
      <ns0:c r="C39" s="36"/>
      <ns0:c r="D39" s="36"/>
      <ns0:c r="E39" s="36"/>
      <ns0:c r="F39" s="41" t="n">
        <ns0:f>ROUND(F38*E13,2)</ns0:f>
        <ns0:v>13698.72</ns0:v>
      </ns0:c>
      <ns0:c r="G39" s="36"/>
      <ns0:c r="H39" s="36"/>
    </ns0:row>
    <ns0:row r="40" ht="26" customHeight="1">
      <ns0:c r="A40" s="45" t="str">
        <ns0:v>Customer total incl. GST</ns0:v>
      </ns0:c>
      <ns0:c r="B40" s="45"/>
      <ns0:c r="C40" s="45"/>
      <ns0:c r="D40" s="45"/>
      <ns0:c r="E40" s="45"/>
      <ns0:c r="F40" s="77" t="n">
        <ns0:f>SUM(F38:F39)</ns0:f>
        <ns0:v>105023.55</ns0:v>
      </ns0:c>
      <ns0:c r="G40" s="45"/>
      <ns0:c r="H40" s="45"/>
    </ns0:row>
    <ns0:row r="41" ht="23" customHeight="1">
      <ns0:c r="A41" s="36"/>
      <ns0:c r="B41" s="36"/>
      <ns0:c r="C41" s="36"/>
      <ns0:c r="D41" s="36"/>
      <ns0:c r="E41" s="36"/>
      <ns0:c r="F41" s="36"/>
      <ns0:c r="G41" s="36"/>
      <ns0:c r="H41" s="36"/>
    </ns0:row>
    <ns0:row r="42" ht="29" customHeight="1">
      <ns0:c r="A42" s="36" t="str">
        <ns0:v>Issue status</ns0:v>
      </ns0:c>
      <ns0:c r="B42" s="36" t="str">
        <ns0:f>'Pricing V2'!B72</ns0:f>
        <ns0:v>Reconcile enclosed floor areas</ns0:v>
      </ns0:c>
      <ns0:c r="C42" s="36"/>
      <ns0:c r="D42" s="36"/>
      <ns0:c r="E42" s="36"/>
      <ns0:c r="F42" s="36"/>
      <ns0:c r="G42" s="36"/>
      <ns0:c r="H42" s="36"/>
    </ns0:row>
    <ns0:row r="43" ht="23" customHeight="1">
      <ns0:c r="A43" s="36"/>
      <ns0:c r="B43" s="36"/>
      <ns0:c r="C43" s="36"/>
      <ns0:c r="D43" s="36"/>
      <ns0:c r="E43" s="36"/>
      <ns0:c r="F43" s="36"/>
      <ns0:c r="G43" s="36"/>
      <ns0:c r="H43" s="36"/>
    </ns0:row>
    <ns0:row r="44" ht="23" customHeight="1">
      <ns0:c r="A44" s="36"/>
      <ns0:c r="B44" s="36"/>
      <ns0:c r="C44" s="36"/>
      <ns0:c r="D44" s="36"/>
      <ns0:c r="E44" s="36"/>
      <ns0:c r="F44" s="36"/>
      <ns0:c r="G44" s="36"/>
      <ns0:c r="H44" s="36"/>
    </ns0:row>
    <ns0:row r="45" ht="26" customHeight="1">
      <ns0:c r="A45" s="79" t="str">
        <ns0:v>How to quote</ns0:v>
      </ns0:c>
      <ns0:c r="B45" s="65"/>
      <ns0:c r="C45" s="65"/>
      <ns0:c r="D45" s="65"/>
      <ns0:c r="E45" s="65"/>
      <ns0:c r="F45" s="65"/>
      <ns0:c r="G45" s="65"/>
      <ns0:c r="H45" s="65"/>
    </ns0:row>
    <ns0:row r="46" ht="36" customHeight="1">
      <ns0:c r="A46" s="39" t="str">
        <ns0:v>1. Enter customer details, supplier reference, specification, inclusions, exclusions and terms.</ns0:v>
      </ns0:c>
      <ns0:c r="B46" s="39"/>
      <ns0:c r="C46" s="39"/>
      <ns0:c r="D46" s="39"/>
      <ns0:c r="E46" s="39"/>
      <ns0:c r="F46" s="39"/>
      <ns0:c r="G46" s="39"/>
      <ns0:c r="H46" s="39"/>
    </ns0:row>
    <ns0:row r="47" ht="36" customHeight="1">
      <ns0:c r="A47" s="39" t="str">
        <ns0:v>2. Select historical base and enter current supply cost overrides in C24:C30. Zero removes a component.</ns0:v>
      </ns0:c>
      <ns0:c r="B47" s="39"/>
      <ns0:c r="C47" s="39"/>
      <ns0:c r="D47" s="39"/>
      <ns0:c r="E47" s="39"/>
      <ns0:c r="F47" s="39"/>
      <ns0:c r="G47" s="39"/>
      <ns0:c r="H47" s="39"/>
    </ns0:row>
    <ns0:row r="48" ht="36" customHeight="1">
      <ns0:c r="A48" s="39" t="str">
        <ns0:v>3. Complete Pricing V2 inputs, construction packages, validation and approval before exporting Customer Quote.</ns0:v>
      </ns0:c>
      <ns0:c r="B48" s="39"/>
      <ns0:c r="C48" s="39"/>
      <ns0:c r="D48" s="39"/>
      <ns0:c r="E48" s="39"/>
      <ns0:c r="F48" s="39"/>
      <ns0:c r="G48" s="39"/>
      <ns0:c r="H48" s="39"/>
    </ns0:row>
    <ns0:row r="49" ht="36" customHeight="1">
      <ns0:c r="A49" s="39" t="str">
        <ns0:v>Historical costs are references only. Dimensions do not generate or rescale supplier kit pricing.</ns0:v>
      </ns0:c>
      <ns0:c r="B49" s="39"/>
      <ns0:c r="C49" s="39"/>
      <ns0:c r="D49" s="39"/>
      <ns0:c r="E49" s="39"/>
      <ns0:c r="F49" s="39"/>
      <ns0:c r="G49" s="39"/>
      <ns0:c r="H49" s="39"/>
    </ns0:row>
    <ns0:row r="50" ht="36" customHeight="1">
      <ns0:c r="A50" s="39" t="str">
        <ns0:v>Set Comparable? to No for site-specific supply. Kit selling price and discount are allocated by cost share for the benchmark only.</ns0:v>
      </ns0:c>
      <ns0:c r="B50" s="39"/>
      <ns0:c r="C50" s="39"/>
      <ns0:c r="D50" s="39"/>
      <ns0:c r="E50" s="39"/>
      <ns0:c r="F50" s="39"/>
      <ns0:c r="G50" s="39"/>
      <ns0:c r="H50" s="39"/>
    </ns0:row>
    <ns0:row r="51" ht="28" customHeight="1">
      <ns0:c r="A51" s="39"/>
      <ns0:c r="B51" s="39"/>
      <ns0:c r="C51" s="39"/>
      <ns0:c r="D51" s="39"/>
      <ns0:c r="E51" s="39"/>
      <ns0:c r="F51" s="39"/>
      <ns0:c r="G51" s="39"/>
      <ns0:c r="H51" s="39"/>
    </ns0:row>
    <ns0:row r="52" ht="26" customHeight="1">
      <ns0:c r="A52" s="79"/>
      <ns0:c r="B52" s="65"/>
      <ns0:c r="C52" s="65"/>
      <ns0:c r="D52" s="65"/>
      <ns0:c r="E52" s="65"/>
      <ns0:c r="F52" s="65"/>
      <ns0:c r="G52" s="65"/>
      <ns0:c r="H52" s="65"/>
    </ns0:row>
    <ns0:row r="53" ht="28" customHeight="1">
      <ns0:c r="A53" s="39"/>
      <ns0:c r="B53" s="39"/>
      <ns0:c r="C53" s="39"/>
      <ns0:c r="D53" s="39"/>
      <ns0:c r="E53" s="39"/>
      <ns0:c r="F53" s="39"/>
      <ns0:c r="G53" s="39"/>
      <ns0:c r="H53" s="39"/>
    </ns0:row>
    <ns0:row r="54" ht="28" customHeight="1">
      <ns0:c r="A54" s="39"/>
      <ns0:c r="B54" s="39"/>
      <ns0:c r="C54" s="39"/>
      <ns0:c r="D54" s="39"/>
      <ns0:c r="E54" s="39"/>
      <ns0:c r="F54" s="39"/>
      <ns0:c r="G54" s="39"/>
      <ns0:c r="H54" s="39"/>
    </ns0:row>
    <ns0:row r="55" ht="28" customHeight="1">
      <ns0:c r="A55" s="39"/>
      <ns0:c r="B55" s="39"/>
      <ns0:c r="C55" s="39"/>
      <ns0:c r="D55" s="39"/>
      <ns0:c r="E55" s="39"/>
      <ns0:c r="F55" s="39"/>
      <ns0:c r="G55" s="39"/>
      <ns0:c r="H55" s="39"/>
    </ns0:row>
    <ns0:row r="56" ht="28" customHeight="1">
      <ns0:c r="A56" s="39"/>
      <ns0:c r="B56" s="39"/>
      <ns0:c r="C56" s="39"/>
      <ns0:c r="D56" s="39"/>
      <ns0:c r="E56" s="39"/>
      <ns0:c r="F56" s="39"/>
      <ns0:c r="G56" s="39"/>
      <ns0:c r="H56" s="39"/>
    </ns0:row>
    <ns0:row r="57" ht="28" customHeight="1">
      <ns0:c r="A57" s="39"/>
      <ns0:c r="B57" s="39"/>
      <ns0:c r="C57" s="39"/>
      <ns0:c r="D57" s="39"/>
      <ns0:c r="E57" s="39"/>
      <ns0:c r="F57" s="39"/>
      <ns0:c r="G57" s="39"/>
      <ns0:c r="H57" s="39"/>
    </ns0:row>
    <ns0:row r="58" ht="28" customHeight="1">
      <ns0:c r="A58" s="39"/>
      <ns0:c r="B58" s="39"/>
      <ns0:c r="C58" s="39"/>
      <ns0:c r="D58" s="39"/>
      <ns0:c r="E58" s="39"/>
      <ns0:c r="F58" s="39"/>
      <ns0:c r="G58" s="39"/>
      <ns0:c r="H58" s="39"/>
    </ns0:row>
    <ns0:row r="59" ht="28" customHeight="1">
      <ns0:c r="A59" s="39"/>
      <ns0:c r="B59" s="39"/>
      <ns0:c r="C59" s="39"/>
      <ns0:c r="D59" s="39"/>
      <ns0:c r="E59" s="39"/>
      <ns0:c r="F59" s="39"/>
      <ns0:c r="G59" s="39"/>
      <ns0:c r="H59" s="39"/>
    </ns0:row>
    <ns0:row r="60" ht="28" customHeight="1">
      <ns0:c r="A60" s="39"/>
      <ns0:c r="B60" s="39"/>
      <ns0:c r="C60" s="39"/>
      <ns0:c r="D60" s="39"/>
      <ns0:c r="E60" s="39"/>
      <ns0:c r="F60" s="39"/>
      <ns0:c r="G60" s="39"/>
      <ns0:c r="H60" s="39"/>
    </ns0:row>
    <ns0:row r="61" ht="23" customHeight="1">
      <ns0:c r="A61" s="36"/>
      <ns0:c r="B61" s="36"/>
      <ns0:c r="C61" s="36"/>
      <ns0:c r="D61" s="36"/>
      <ns0:c r="E61" s="36"/>
      <ns0:c r="F61" s="36"/>
      <ns0:c r="G61" s="36"/>
      <ns0:c r="H61" s="36"/>
    </ns0:row>
    <ns0:row r="62" ht="23" customHeight="1">
      <ns0:c r="A62" s="36"/>
      <ns0:c r="B62" s="36"/>
      <ns0:c r="C62" s="36"/>
      <ns0:c r="D62" s="36"/>
      <ns0:c r="E62" s="36"/>
      <ns0:c r="F62" s="36"/>
      <ns0:c r="G62" s="36"/>
      <ns0:c r="H62" s="36"/>
    </ns0:row>
    <ns0:row r="63" ht="23" customHeight="1">
      <ns0:c r="A63" s="36"/>
      <ns0:c r="B63" s="36"/>
      <ns0:c r="C63" s="36"/>
      <ns0:c r="D63" s="36"/>
      <ns0:c r="E63" s="36"/>
      <ns0:c r="F63" s="36"/>
      <ns0:c r="G63" s="36"/>
      <ns0:c r="H63" s="36"/>
    </ns0:row>
    <ns0:row r="64" ht="23" customHeight="1">
      <ns0:c r="A64" s="36"/>
      <ns0:c r="B64" s="36"/>
      <ns0:c r="C64" s="36"/>
      <ns0:c r="D64" s="36"/>
      <ns0:c r="E64" s="36"/>
      <ns0:c r="F64" s="36"/>
      <ns0:c r="G64" s="36"/>
      <ns0:c r="H64" s="36"/>
    </ns0:row>
    <ns0:row r="65" ht="23" customHeight="1">
      <ns0:c r="A65" s="36"/>
      <ns0:c r="B65" s="36"/>
      <ns0:c r="C65" s="36"/>
      <ns0:c r="D65" s="36"/>
      <ns0:c r="E65" s="36"/>
      <ns0:c r="F65" s="36"/>
      <ns0:c r="G65" s="36"/>
      <ns0:c r="H65" s="36"/>
    </ns0:row>
    <ns0:row r="66" ht="23" customHeight="1">
      <ns0:c r="A66" s="36"/>
      <ns0:c r="B66" s="36"/>
      <ns0:c r="C66" s="36"/>
      <ns0:c r="D66" s="36"/>
      <ns0:c r="E66" s="36"/>
      <ns0:c r="F66" s="36"/>
      <ns0:c r="G66" s="36"/>
      <ns0:c r="H66" s="36"/>
    </ns0:row>
    <ns0:row r="67" ht="23" customHeight="1">
      <ns0:c r="A67" s="36"/>
      <ns0:c r="B67" s="36"/>
      <ns0:c r="C67" s="36"/>
      <ns0:c r="D67" s="36"/>
      <ns0:c r="E67" s="36"/>
      <ns0:c r="F67" s="36"/>
      <ns0:c r="G67" s="36"/>
      <ns0:c r="H67" s="36"/>
    </ns0:row>
    <ns0:row r="68" ht="23" customHeight="1">
      <ns0:c r="A68" s="36"/>
      <ns0:c r="B68" s="36"/>
      <ns0:c r="C68" s="36"/>
      <ns0:c r="D68" s="36"/>
      <ns0:c r="E68" s="36"/>
      <ns0:c r="F68" s="36"/>
      <ns0:c r="G68" s="36"/>
      <ns0:c r="H68" s="36"/>
    </ns0:row>
    <ns0:row r="69" ht="23" customHeight="1">
      <ns0:c r="A69" s="36"/>
      <ns0:c r="B69" s="36"/>
      <ns0:c r="C69" s="36"/>
      <ns0:c r="D69" s="36"/>
      <ns0:c r="E69" s="36"/>
      <ns0:c r="F69" s="36"/>
      <ns0:c r="G69" s="36"/>
      <ns0:c r="H69" s="36"/>
    </ns0:row>
    <ns0:row r="70" ht="23" customHeight="1">
      <ns0:c r="A70" s="36"/>
      <ns0:c r="B70" s="36"/>
      <ns0:c r="C70" s="36"/>
      <ns0:c r="D70" s="36"/>
      <ns0:c r="E70" s="36"/>
      <ns0:c r="F70" s="36"/>
      <ns0:c r="G70" s="36"/>
      <ns0:c r="H70" s="36"/>
    </ns0:row>
    <ns0:row r="71" ht="23" customHeight="1">
      <ns0:c r="A71" s="36"/>
      <ns0:c r="B71" s="36"/>
      <ns0:c r="C71" s="36"/>
      <ns0:c r="D71" s="36"/>
      <ns0:c r="E71" s="36"/>
      <ns0:c r="F71" s="36"/>
      <ns0:c r="G71" s="36"/>
      <ns0:c r="H71" s="36"/>
    </ns0:row>
    <ns0:row r="72" ht="23" customHeight="1">
      <ns0:c r="A72" s="36"/>
      <ns0:c r="B72" s="36"/>
      <ns0:c r="C72" s="36"/>
      <ns0:c r="D72" s="36"/>
      <ns0:c r="E72" s="36"/>
      <ns0:c r="F72" s="36"/>
      <ns0:c r="G72" s="36"/>
      <ns0:c r="H72" s="36"/>
    </ns0:row>
    <ns0:row r="73" ht="23" customHeight="1">
      <ns0:c r="A73" s="36"/>
      <ns0:c r="B73" s="36"/>
      <ns0:c r="C73" s="36"/>
      <ns0:c r="D73" s="36"/>
      <ns0:c r="E73" s="36"/>
      <ns0:c r="F73" s="36"/>
      <ns0:c r="G73" s="36"/>
      <ns0:c r="H73" s="36"/>
    </ns0:row>
    <ns0:row r="74" ht="23" customHeight="1">
      <ns0:c r="A74" s="36"/>
      <ns0:c r="B74" s="36"/>
      <ns0:c r="C74" s="36"/>
      <ns0:c r="D74" s="36"/>
      <ns0:c r="E74" s="36"/>
      <ns0:c r="F74" s="36"/>
      <ns0:c r="G74" s="36"/>
      <ns0:c r="H74" s="36"/>
    </ns0:row>
    <ns0:row r="75" ht="23" customHeight="1">
      <ns0:c r="A75" s="36"/>
      <ns0:c r="B75" s="36"/>
      <ns0:c r="C75" s="36"/>
      <ns0:c r="D75" s="36"/>
      <ns0:c r="E75" s="36"/>
      <ns0:c r="F75" s="36"/>
      <ns0:c r="G75" s="36"/>
      <ns0:c r="H75" s="36"/>
    </ns0:row>
    <ns0:row r="76" ht="23" customHeight="1">
      <ns0:c r="A76" s="36"/>
      <ns0:c r="B76" s="36"/>
      <ns0:c r="C76" s="36"/>
      <ns0:c r="D76" s="36"/>
      <ns0:c r="E76" s="36"/>
      <ns0:c r="F76" s="36"/>
      <ns0:c r="G76" s="36"/>
      <ns0:c r="H76" s="36"/>
    </ns0:row>
    <ns0:row r="77" ht="23" customHeight="1">
      <ns0:c r="A77" s="36"/>
      <ns0:c r="B77" s="36"/>
      <ns0:c r="C77" s="36"/>
      <ns0:c r="D77" s="36"/>
      <ns0:c r="E77" s="36"/>
      <ns0:c r="F77" s="36"/>
      <ns0:c r="G77" s="36"/>
      <ns0:c r="H77" s="36"/>
    </ns0:row>
    <ns0:row r="78" ht="23" customHeight="1">
      <ns0:c r="A78" s="36"/>
      <ns0:c r="B78" s="36"/>
      <ns0:c r="C78" s="36"/>
      <ns0:c r="D78" s="36"/>
      <ns0:c r="E78" s="36"/>
      <ns0:c r="F78" s="36"/>
      <ns0:c r="G78" s="36"/>
      <ns0:c r="H78" s="36"/>
    </ns0:row>
    <ns0:row r="79" ht="23" customHeight="1">
      <ns0:c r="A79" s="36"/>
      <ns0:c r="B79" s="36"/>
      <ns0:c r="C79" s="36"/>
      <ns0:c r="D79" s="36"/>
      <ns0:c r="E79" s="36"/>
      <ns0:c r="F79" s="36"/>
      <ns0:c r="G79" s="36"/>
      <ns0:c r="H79" s="36"/>
    </ns0:row>
  </ns0:sheetData>
  <ns0:sheetProtection sheet="1" objects="1" scenarios="1" selectLockedCells="0" selectUnlockedCells="0"/>
  <ns0:mergeCells>
    <ns0:mergeCell ref="B8:H8"/>
    <ns0:mergeCell ref="B14:H14"/>
    <ns0:mergeCell ref="B16:H16"/>
    <ns0:mergeCell ref="B17:H17"/>
    <ns0:mergeCell ref="B18:H18"/>
    <ns0:mergeCell ref="B19:H19"/>
    <ns0:mergeCell ref="B20:H20"/>
    <ns0:mergeCell ref="B34:H34"/>
    <ns0:mergeCell ref="B42:H42"/>
    <ns0:mergeCell ref="A45:H45"/>
    <ns0:mergeCell ref="A2:H2"/>
    <ns0:mergeCell ref="A3:H3"/>
    <ns0:mergeCell ref="E24:H24"/>
    <ns0:mergeCell ref="E25:H25"/>
    <ns0:mergeCell ref="E26:H26"/>
    <ns0:mergeCell ref="E29:H29"/>
    <ns0:mergeCell ref="A46:H46"/>
    <ns0:mergeCell ref="A47:H47"/>
    <ns0:mergeCell ref="A48:H48"/>
    <ns0:mergeCell ref="A49:H49"/>
    <ns0:mergeCell ref="A50:H50"/>
  </ns0:mergeCells>
  <ns0:conditionalFormatting sqref="B42:B42">
    <ns0:cfRule type="cellIs" dxfId="0" priority="1" operator="notEqual">
      <ns0:formula>"Ready to issue"</ns0:formula>
    </ns0:cfRule>
  </ns0:conditionalFormatting>
  <ns0:dataValidations count="10">
    <ns0:dataValidation type="list" sqref="B5">
      <ns0:formula1>"1,2,3,4,5"</ns0:formula1>
    </ns0:dataValidation>
    <ns0:dataValidation type="list" sqref="B12:B13">
      <ns0:formula1>"No,Yes"</ns0:formula1>
    </ns0:dataValidation>
    <ns0:dataValidation type="list" sqref="E10">
      <ns0:formula1>"Gross margin"</ns0:formula1>
    </ns0:dataValidation>
    <ns0:dataValidation type="list" sqref="F24">
      <ns0:formula1>"Yes,No"</ns0:formula1>
    </ns0:dataValidation>
    <ns0:dataValidation type="list" sqref="F25">
      <ns0:formula1>"Yes,No"</ns0:formula1>
    </ns0:dataValidation>
    <ns0:dataValidation type="list" sqref="F26">
      <ns0:formula1>"Yes,No"</ns0:formula1>
    </ns0:dataValidation>
    <ns0:dataValidation type="list" sqref="F27">
      <ns0:formula1>"Yes,No"</ns0:formula1>
    </ns0:dataValidation>
    <ns0:dataValidation type="list" sqref="F28">
      <ns0:formula1>"Yes,No"</ns0:formula1>
    </ns0:dataValidation>
    <ns0:dataValidation type="list" sqref="F29">
      <ns0:formula1>"Yes,No"</ns0:formula1>
    </ns0:dataValidation>
    <ns0:dataValidation type="list" sqref="F30">
      <ns0:formula1>"Yes,No"</ns0:formula1>
    </ns0:dataValidation>
  </ns0:dataValidations>
  <ns0:pageMargins left="0.7" right="0.7" top="0.75" bottom="0.75" header="0.3" footer="0.3"/>
  <ns0:drawing ns1:id="R03018cac26a94d6e"/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tabColor rgb="FF20353C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6" hidden="0" customWidth="1"/>
    <ns0:col min="2" max="2" width="29" hidden="0" customWidth="1"/>
    <ns0:col min="3" max="3" width="29" hidden="0" customWidth="1"/>
    <ns0:col min="4" max="4" width="12" hidden="0" customWidth="1"/>
    <ns0:col min="5" max="5" width="12" hidden="0" customWidth="1"/>
    <ns0:col min="6" max="6" width="12" hidden="0" customWidth="1"/>
    <ns0:col min="7" max="7" width="19" hidden="0" customWidth="1"/>
    <ns0:col min="8" max="8" width="19" hidden="0" customWidth="1"/>
    <ns0:col min="9" max="9" width="19" hidden="0" customWidth="1"/>
    <ns0:col min="10" max="10" width="19" hidden="0" customWidth="1"/>
    <ns0:col min="11" max="11" width="19" hidden="0" customWidth="1"/>
    <ns0:col min="12" max="12" width="19" hidden="0" customWidth="1"/>
    <ns0:col min="13" max="13" width="19" hidden="0" customWidth="1"/>
    <ns0:col min="14" max="14" width="72" hidden="0" customWidth="1"/>
    <ns0:col min="15" max="15" width="60" hidden="0" customWidth="1"/>
    <ns0:col min="16" max="16" width="27" hidden="0" customWidth="1"/>
  </ns0:cols>
  <ns0:sheetData>
    <ns0:row r="1" ht="135" customHeight="1">
      <ns0:c r="A1" s="36"/>
      <ns0:c r="B1" s="36"/>
      <ns0:c r="C1" s="36"/>
      <ns0:c r="D1" s="36"/>
      <ns0:c r="E1" s="36"/>
      <ns0:c r="F1" s="36"/>
      <ns0:c r="G1" s="36"/>
      <ns0:c r="H1" s="36"/>
      <ns0:c r="I1" s="36"/>
      <ns0:c r="J1" s="36"/>
      <ns0:c r="K1" s="36"/>
      <ns0:c r="L1" s="36"/>
      <ns0:c r="M1" s="36"/>
      <ns0:c r="N1" s="36"/>
      <ns0:c r="O1" s="36"/>
      <ns0:c r="P1" s="36"/>
    </ns0:row>
    <ns0:row r="2" ht="30" customHeight="1">
      <ns0:c r="A2" s="48" t="str">
        <ns0:v>Historical base proposals</ns0:v>
      </ns0:c>
      <ns0:c r="B2" s="49"/>
      <ns0:c r="C2" s="49"/>
      <ns0:c r="D2" s="49"/>
      <ns0:c r="E2" s="49"/>
      <ns0:c r="F2" s="49"/>
      <ns0:c r="G2" s="49"/>
      <ns0:c r="H2" s="49"/>
      <ns0:c r="I2" s="49"/>
      <ns0:c r="J2" s="49"/>
      <ns0:c r="K2" s="49"/>
      <ns0:c r="L2" s="49"/>
      <ns0:c r="M2" s="49"/>
      <ns0:c r="N2" s="49"/>
      <ns0:c r="O2" s="49"/>
      <ns0:c r="P2" s="49"/>
    </ns0:row>
    <ns0:row r="3" ht="23" customHeight="1">
      <ns0:c r="A3" s="36" t="str">
        <ns0:v>Source snapshots • rates are markups on cost • GST basis retained from the supplied templates</ns0:v>
      </ns0:c>
      <ns0:c r="B3" s="36"/>
      <ns0:c r="C3" s="36"/>
      <ns0:c r="D3" s="36"/>
      <ns0:c r="E3" s="36"/>
      <ns0:c r="F3" s="36"/>
      <ns0:c r="G3" s="36"/>
      <ns0:c r="H3" s="36"/>
      <ns0:c r="I3" s="36"/>
      <ns0:c r="J3" s="36"/>
      <ns0:c r="K3" s="36"/>
      <ns0:c r="L3" s="36"/>
      <ns0:c r="M3" s="36"/>
      <ns0:c r="N3" s="36"/>
      <ns0:c r="O3" s="36"/>
      <ns0:c r="P3" s="36"/>
    </ns0:row>
    <ns0:row r="4" ht="23" customHeight="1">
      <ns0:c r="A4" s="36"/>
      <ns0:c r="B4" s="36"/>
      <ns0:c r="C4" s="36"/>
      <ns0:c r="D4" s="36"/>
      <ns0:c r="E4" s="36"/>
      <ns0:c r="F4" s="36"/>
      <ns0:c r="G4" s="36"/>
      <ns0:c r="H4" s="36"/>
      <ns0:c r="I4" s="36"/>
      <ns0:c r="J4" s="36"/>
      <ns0:c r="K4" s="36"/>
      <ns0:c r="L4" s="36"/>
      <ns0:c r="M4" s="36"/>
      <ns0:c r="N4" s="36"/>
      <ns0:c r="O4" s="36"/>
      <ns0:c r="P4" s="36"/>
    </ns0:row>
    <ns0:row r="5" ht="36" customHeight="1">
      <ns0:c r="A5" s="79" t="str">
        <ns0:v>No.</ns0:v>
      </ns0:c>
      <ns0:c r="B5" s="79" t="str">
        <ns0:v>Base name</ns0:v>
      </ns0:c>
      <ns0:c r="C5" s="79" t="str">
        <ns0:v>Job reference</ns0:v>
      </ns0:c>
      <ns0:c r="D5" s="79" t="str">
        <ns0:v>Length m</ns0:v>
      </ns0:c>
      <ns0:c r="E5" s="79" t="str">
        <ns0:v>Span m</ns0:v>
      </ns0:c>
      <ns0:c r="F5" s="79" t="str">
        <ns0:v>Knee m</ns0:v>
      </ns0:c>
      <ns0:c r="G5" s="79" t="str">
        <ns0:v>Primary kit</ns0:v>
      </ns0:c>
      <ns0:c r="H5" s="79" t="str">
        <ns0:v>Secondary kit</ns0:v>
      </ns0:c>
      <ns0:c r="I5" s="79" t="str">
        <ns0:v>Kit freight</ns0:v>
      </ns0:c>
      <ns0:c r="J5" s="79" t="str">
        <ns0:v>Markup</ns0:v>
      </ns0:c>
      <ns0:c r="K5" s="79" t="str">
        <ns0:v>Supplier</ns0:v>
      </ns0:c>
      <ns0:c r="L5" s="79" t="str">
        <ns0:v>PA freight</ns0:v>
      </ns0:c>
      <ns0:c r="M5" s="79" t="str">
        <ns0:v>Roller freight</ns0:v>
      </ns0:c>
      <ns0:c r="N5" s="79" t="str">
        <ns0:v>Source file</ns0:v>
      </ns0:c>
      <ns0:c r="O5" s="79" t="str">
        <ns0:v>Source cells</ns0:v>
      </ns0:c>
      <ns0:c r="P5" s="79" t="str">
        <ns0:v>Historical kit sale excl. GST</ns0:v>
      </ns0:c>
    </ns0:row>
    <ns0:row r="6" ht="23" customHeight="1">
      <ns0:c r="A6" s="36" t="n">
        <ns0:v>1</ns0:v>
      </ns0:c>
      <ns0:c r="B6" s="36" t="str">
        <ns0:v>MILNE 100114</ns0:v>
      </ns0:c>
      <ns0:c r="C6" s="36" t="str">
        <ns0:v>CYSK 100114</ns0:v>
      </ns0:c>
      <ns0:c r="D6" s="36" t="n">
        <ns0:v>30</ns0:v>
      </ns0:c>
      <ns0:c r="E6" s="36" t="n">
        <ns0:v>10</ns0:v>
      </ns0:c>
      <ns0:c r="F6" s="36" t="n">
        <ns0:v>3.2</ns0:v>
      </ns0:c>
      <ns0:c r="G6" s="41" t="n">
        <ns0:v>63927.38</ns0:v>
      </ns0:c>
      <ns0:c r="H6" s="41" t="n">
        <ns0:v>0</ns0:v>
      </ns0:c>
      <ns0:c r="I6" s="41" t="n">
        <ns0:v>0</ns0:v>
      </ns0:c>
      <ns0:c r="J6" s="61" t="n">
        <ns0:v>0.47</ns0:v>
      </ns0:c>
      <ns0:c r="K6" s="36" t="str">
        <ns0:v>F D S </ns0:v>
      </ns0:c>
      <ns0:c r="L6" s="41" t="n">
        <ns0:v>0</ns0:v>
      </ns0:c>
      <ns0:c r="M6" s="41" t="n">
        <ns0:v>0</ns0:v>
      </ns0:c>
      <ns0:c r="N6" s="36" t="str">
        <ns0:v>CONTRACT CYSK 100114 MILNE Kitset Proposal - Slab Site Labour Kitset V3.xlsx</ns0:v>
      </ns0:c>
      <ns0:c r="O6" s="36" t="str">
        <ns0:v>SUMMARY!H21; D44; C5:E5; freight H22:H24</ns0:v>
      </ns0:c>
      <ns0:c r="P6" s="41" t="n">
        <ns0:v>93973.2486</ns0:v>
      </ns0:c>
    </ns0:row>
    <ns0:row r="7" ht="23" customHeight="1">
      <ns0:c r="A7" s="36" t="n">
        <ns0:v>2</ns0:v>
      </ns0:c>
      <ns0:c r="B7" s="36" t="str">
        <ns0:v>RAMSAY 100123 – Kitset</ns0:v>
      </ns0:c>
      <ns0:c r="C7" s="36" t="str">
        <ns0:v>CYSK 100123</ns0:v>
      </ns0:c>
      <ns0:c r="D7" s="36" t="n">
        <ns0:v>30.5</ns0:v>
      </ns0:c>
      <ns0:c r="E7" s="36" t="n">
        <ns0:v>10</ns0:v>
      </ns0:c>
      <ns0:c r="F7" s="36" t="n">
        <ns0:v>3.2</ns0:v>
      </ns0:c>
      <ns0:c r="G7" s="41" t="n">
        <ns0:v>80518.76</ns0:v>
      </ns0:c>
      <ns0:c r="H7" s="41" t="n">
        <ns0:v>0</ns0:v>
      </ns0:c>
      <ns0:c r="I7" s="41" t="n">
        <ns0:v>0</ns0:v>
      </ns0:c>
      <ns0:c r="J7" s="61" t="n">
        <ns0:v>0.45</ns0:v>
      </ns0:c>
      <ns0:c r="K7" s="36" t="str">
        <ns0:v>F D S </ns0:v>
      </ns0:c>
      <ns0:c r="L7" s="41" t="n">
        <ns0:v>0</ns0:v>
      </ns0:c>
      <ns0:c r="M7" s="41" t="n">
        <ns0:v>0</ns0:v>
      </ns0:c>
      <ns0:c r="N7" s="36" t="str">
        <ns0:v>CYSK 100123 RAMSAY Kitset Proposal - Kitset 10M x 30.5M 22 deg.xlsx</ns0:v>
      </ns0:c>
      <ns0:c r="O7" s="36" t="str">
        <ns0:v>SUMMARY!H21; D41; C5:E5; freight H22:H24</ns0:v>
      </ns0:c>
      <ns0:c r="P7" s="41" t="n">
        <ns0:v>116752.202</ns0:v>
      </ns0:c>
    </ns0:row>
    <ns0:row r="8" ht="23" customHeight="1">
      <ns0:c r="A8" s="36" t="n">
        <ns0:v>3</ns0:v>
      </ns0:c>
      <ns0:c r="B8" s="36" t="str">
        <ns0:v>RAMSAY 100123 – Full</ns0:v>
      </ns0:c>
      <ns0:c r="C8" s="36" t="str">
        <ns0:v>CYSK 100123</ns0:v>
      </ns0:c>
      <ns0:c r="D8" s="36" t="n">
        <ns0:v>30.5</ns0:v>
      </ns0:c>
      <ns0:c r="E8" s="36" t="n">
        <ns0:v>10</ns0:v>
      </ns0:c>
      <ns0:c r="F8" s="36" t="n">
        <ns0:v>3.2</ns0:v>
      </ns0:c>
      <ns0:c r="G8" s="41" t="n">
        <ns0:v>89125.42</ns0:v>
      </ns0:c>
      <ns0:c r="H8" s="41" t="n">
        <ns0:v>0</ns0:v>
      </ns0:c>
      <ns0:c r="I8" s="41" t="n">
        <ns0:v>0</ns0:v>
      </ns0:c>
      <ns0:c r="J8" s="61" t="n">
        <ns0:v>0.35</ns0:v>
      </ns0:c>
      <ns0:c r="K8" s="36" t="str">
        <ns0:v>F D S </ns0:v>
      </ns0:c>
      <ns0:c r="L8" s="41" t="n">
        <ns0:v>0</ns0:v>
      </ns0:c>
      <ns0:c r="M8" s="41" t="n">
        <ns0:v>0</ns0:v>
      </ns0:c>
      <ns0:c r="N8" s="36" t="str">
        <ns0:v>CYSK 100123 RAMSAY Kitset Proposal - Slab Site Labour Kitset 10M x 30.5M 22 deg.xlsx</ns0:v>
      </ns0:c>
      <ns0:c r="O8" s="36" t="str">
        <ns0:v>SUMMARY!H21; D41; C5:E5; freight H22:H24</ns0:v>
      </ns0:c>
      <ns0:c r="P8" s="41" t="n">
        <ns0:v>120319.317</ns0:v>
      </ns0:c>
    </ns0:row>
    <ns0:row r="9" ht="23" customHeight="1">
      <ns0:c r="A9" s="36" t="n">
        <ns0:v>4</ns0:v>
      </ns0:c>
      <ns0:c r="B9" s="36" t="str">
        <ns0:v>LANG 100129</ns0:v>
      </ns0:c>
      <ns0:c r="C9" s="36" t="str">
        <ns0:v>CYSK 100129</ns0:v>
      </ns0:c>
      <ns0:c r="D9" s="36" t="n">
        <ns0:v>35</ns0:v>
      </ns0:c>
      <ns0:c r="E9" s="36" t="n">
        <ns0:v>12</ns0:v>
      </ns0:c>
      <ns0:c r="F9" s="36" t="n">
        <ns0:v>3.6</ns0:v>
      </ns0:c>
      <ns0:c r="G9" s="41" t="n">
        <ns0:v>82867.99</ns0:v>
      </ns0:c>
      <ns0:c r="H9" s="41" t="n">
        <ns0:v>65254</ns0:v>
      </ns0:c>
      <ns0:c r="I9" s="41" t="n">
        <ns0:v>0</ns0:v>
      </ns0:c>
      <ns0:c r="J9" s="61" t="n">
        <ns0:v>0.25</ns0:v>
      </ns0:c>
      <ns0:c r="K9" s="36" t="str">
        <ns0:v>Cyclone Buildings</ns0:v>
      </ns0:c>
      <ns0:c r="L9" s="41" t="n">
        <ns0:v>0</ns0:v>
      </ns0:c>
      <ns0:c r="M9" s="41" t="n">
        <ns0:v>0</ns0:v>
      </ns0:c>
      <ns0:c r="N9" s="36" t="str">
        <ns0:v>CYSK 100129 Lang Kitset Proposal - Slab Site Labour Kitset.xlsx</ns0:v>
      </ns0:c>
      <ns0:c r="O9" s="36" t="str">
        <ns0:v>SUMMARY!H21, H22; D44; C5:E5; freight H23:H25</ns0:v>
      </ns0:c>
      <ns0:c r="P9" s="41" t="n">
        <ns0:v>185152.4875</ns0:v>
      </ns0:c>
    </ns0:row>
    <ns0:row r="10" ht="23" customHeight="1">
      <ns0:c r="A10" s="36" t="n">
        <ns0:v>5</ns0:v>
      </ns0:c>
      <ns0:c r="B10" s="36" t="str">
        <ns0:v>LANG 100130</ns0:v>
      </ns0:c>
      <ns0:c r="C10" s="36" t="str">
        <ns0:v>CYSK 100130</ns0:v>
      </ns0:c>
      <ns0:c r="D10" s="36" t="n">
        <ns0:v>25.1</ns0:v>
      </ns0:c>
      <ns0:c r="E10" s="36" t="n">
        <ns0:v>18</ns0:v>
      </ns0:c>
      <ns0:c r="F10" s="36" t="n">
        <ns0:v>3.6</ns0:v>
      </ns0:c>
      <ns0:c r="G10" s="41" t="n">
        <ns0:v>79465.17</ns0:v>
      </ns0:c>
      <ns0:c r="H10" s="41" t="n">
        <ns0:v>42728.46</ns0:v>
      </ns0:c>
      <ns0:c r="I10" s="41" t="n">
        <ns0:v>0</ns0:v>
      </ns0:c>
      <ns0:c r="J10" s="61" t="n">
        <ns0:v>0.3</ns0:v>
      </ns0:c>
      <ns0:c r="K10" s="36" t="str">
        <ns0:v>Cyclone Buildings</ns0:v>
      </ns0:c>
      <ns0:c r="L10" s="41" t="n">
        <ns0:v>0</ns0:v>
      </ns0:c>
      <ns0:c r="M10" s="41" t="n">
        <ns0:v>0</ns0:v>
      </ns0:c>
      <ns0:c r="N10" s="36" t="str">
        <ns0:v>CYSK 100130 Lang Kitset Proposal - Slab Site Labour Kitset.xlsx</ns0:v>
      </ns0:c>
      <ns0:c r="O10" s="36" t="str">
        <ns0:v>SUMMARY!H21, H22; D44; C5:E5; freight H23:H25</ns0:v>
      </ns0:c>
      <ns0:c r="P10" s="41" t="n">
        <ns0:v>158851.719</ns0:v>
      </ns0:c>
    </ns0:row>
    <ns0:row r="11" ht="23" customHeight="1">
      <ns0:c r="A11" s="36"/>
      <ns0:c r="B11" s="36"/>
      <ns0:c r="C11" s="36"/>
      <ns0:c r="D11" s="36"/>
      <ns0:c r="E11" s="36"/>
      <ns0:c r="F11" s="36"/>
      <ns0:c r="G11" s="36"/>
      <ns0:c r="H11" s="36"/>
      <ns0:c r="I11" s="36"/>
      <ns0:c r="J11" s="36"/>
      <ns0:c r="K11" s="36"/>
      <ns0:c r="L11" s="36"/>
      <ns0:c r="M11" s="36"/>
      <ns0:c r="N11" s="36"/>
      <ns0:c r="O11" s="36"/>
      <ns0:c r="P11" s="36"/>
    </ns0:row>
    <ns0:row r="12" ht="23" customHeight="1">
      <ns0:c r="A12" s="36" t="str">
        <ns0:v>Source review</ns0:v>
      </ns0:c>
      <ns0:c r="B12" s="36"/>
      <ns0:c r="C12" s="36"/>
      <ns0:c r="D12" s="36"/>
      <ns0:c r="E12" s="36"/>
      <ns0:c r="F12" s="36"/>
      <ns0:c r="G12" s="36"/>
      <ns0:c r="H12" s="36"/>
      <ns0:c r="I12" s="36"/>
      <ns0:c r="J12" s="36"/>
      <ns0:c r="K12" s="36"/>
      <ns0:c r="L12" s="36"/>
      <ns0:c r="M12" s="36"/>
      <ns0:c r="N12" s="36"/>
      <ns0:c r="O12" s="36"/>
      <ns0:c r="P12" s="36"/>
    </ns0:row>
    <ns0:row r="13" ht="23" customHeight="1">
      <ns0:c r="A13" s="36" t="str">
        <ns0:v>The old Price list is labelled “Updated 1/09/10”; it is not used as a current supplier rate card.</ns0:v>
      </ns0:c>
      <ns0:c r="B13" s="36"/>
      <ns0:c r="C13" s="36"/>
      <ns0:c r="D13" s="36"/>
      <ns0:c r="E13" s="36"/>
      <ns0:c r="F13" s="36"/>
      <ns0:c r="G13" s="36"/>
      <ns0:c r="H13" s="36"/>
      <ns0:c r="I13" s="36"/>
      <ns0:c r="J13" s="36"/>
      <ns0:c r="K13" s="36"/>
      <ns0:c r="L13" s="36"/>
      <ns0:c r="M13" s="36"/>
      <ns0:c r="N13" s="36"/>
      <ns0:c r="O13" s="36"/>
      <ns0:c r="P13" s="36"/>
    </ns0:row>
    <ns0:row r="14" ht="23" customHeight="1">
      <ns0:c r="A14" s="36" t="str">
        <ns0:v>Source formulas contain existing #REF! references in Materials List. This system uses the explicit kit cost and markup inputs.</ns0:v>
      </ns0:c>
      <ns0:c r="B14" s="36"/>
      <ns0:c r="C14" s="36"/>
      <ns0:c r="D14" s="36"/>
      <ns0:c r="E14" s="36"/>
      <ns0:c r="F14" s="36"/>
      <ns0:c r="G14" s="36"/>
      <ns0:c r="H14" s="36"/>
      <ns0:c r="I14" s="36"/>
      <ns0:c r="J14" s="36"/>
      <ns0:c r="K14" s="36"/>
      <ns0:c r="L14" s="36"/>
      <ns0:c r="M14" s="36"/>
      <ns0:c r="N14" s="36"/>
      <ns0:c r="O14" s="36"/>
      <ns0:c r="P14" s="36"/>
    </ns0:row>
    <ns0:row r="15" ht="23" customHeight="1">
      <ns0:c r="A15" s="36"/>
      <ns0:c r="B15" s="36"/>
      <ns0:c r="C15" s="36"/>
      <ns0:c r="D15" s="36"/>
      <ns0:c r="E15" s="36"/>
      <ns0:c r="F15" s="36"/>
      <ns0:c r="G15" s="36"/>
      <ns0:c r="H15" s="36"/>
      <ns0:c r="I15" s="36"/>
      <ns0:c r="J15" s="36"/>
      <ns0:c r="K15" s="36"/>
      <ns0:c r="L15" s="36"/>
      <ns0:c r="M15" s="36"/>
      <ns0:c r="N15" s="36"/>
      <ns0:c r="O15" s="36"/>
      <ns0:c r="P15" s="36"/>
    </ns0:row>
  </ns0:sheetData>
  <ns0:sheetProtection sheet="1" objects="1" scenarios="1" selectLockedCells="0" selectUnlockedCells="0"/>
  <ns0:mergeCells>
    <ns0:mergeCell ref="A3:P3"/>
    <ns0:mergeCell ref="A12:P12"/>
    <ns0:mergeCell ref="A13:P13"/>
    <ns0:mergeCell ref="A14:P14"/>
    <ns0:mergeCell ref="A2:P2"/>
  </ns0:mergeCells>
  <ns0:pageMargins left="0.7" right="0.7" top="0.75" bottom="0.75" header="0.3" footer="0.3"/>
  <ns0:drawing ns1:id="R124d81fdb23f45d9"/>
</ns0:worksheet>
</file>

<file path=xl/worksheets/sheet4.xml><?xml version="1.0" encoding="utf-8"?>
<ns0:worksheet xmlns:ns0="http://schemas.openxmlformats.org/spreadsheetml/2006/main" xmlns:ns1="http://schemas.openxmlformats.org/officeDocument/2006/relationships">
  <ns0:sheetPr>
    <ns0:tabColor rgb="FF20353C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34" hidden="0" customWidth="1"/>
    <ns0:col min="2" max="2" width="60" hidden="0" customWidth="1"/>
    <ns0:col min="3" max="3" width="17" hidden="0" customWidth="1"/>
    <ns0:col min="4" max="4" width="44" hidden="0" customWidth="1"/>
    <ns0:col min="5" max="5" width="18" hidden="0" customWidth="1"/>
    <ns0:col min="6" max="6" width="18" hidden="0" customWidth="1"/>
    <ns0:col min="7" max="7" width="18" hidden="0" customWidth="1"/>
    <ns0:col min="8" max="8" width="18" hidden="0" customWidth="1"/>
    <ns0:col min="9" max="9" width="18" hidden="0" customWidth="1"/>
    <ns0:col min="10" max="10" width="18" hidden="0" customWidth="1"/>
  </ns0:cols>
  <ns0:sheetData>
    <ns0:row r="1" ht="135" customHeight="1">
      <ns0:c r="A1" s="36"/>
      <ns0:c r="B1" s="36"/>
      <ns0:c r="C1" s="36"/>
      <ns0:c r="D1" s="36"/>
    </ns0:row>
    <ns0:row r="2" ht="30" customHeight="1">
      <ns0:c r="A2" t="str">
        <ns0:v>SHP pricing transfer schema 2.0</ns0:v>
      </ns0:c>
      <ns0:c r="B2"/>
      <ns0:c r="C2"/>
      <ns0:c r="D2"/>
    </ns0:row>
    <ns0:row r="3" ht="25" customHeight="1">
      <ns0:c r="A3"/>
      <ns0:c r="B3"/>
      <ns0:c r="C3"/>
      <ns0:c r="D3"/>
    </ns0:row>
    <ns0:row r="4" ht="25" customHeight="1">
      <ns0:c r="A4"/>
      <ns0:c r="B4"/>
      <ns0:c r="C4"/>
      <ns0:c r="D4"/>
    </ns0:row>
    <ns0:row r="5" ht="28" customHeight="1">
      <ns0:c r="A5" s="96" t="str">
        <ns0:v>Field</ns0:v>
      </ns0:c>
      <ns0:c r="B5" s="96" t="str">
        <ns0:v>Value</ns0:v>
      </ns0:c>
      <ns0:c r="C5" s="96" t="str">
        <ns0:v>Type</ns0:v>
      </ns0:c>
      <ns0:c r="D5" s="96" t="str">
        <ns0:v>Meaning</ns0:v>
      </ns0:c>
    </ns0:row>
    <ns0:row r="6" ht="25" customHeight="1">
      <ns0:c r="A6" t="str">
        <ns0:v>schema_version</ns0:v>
      </ns0:c>
      <ns0:c r="B6" t="str">
        <ns0:v>2.0</ns0:v>
      </ns0:c>
      <ns0:c r="C6"/>
      <ns0:c r="D6"/>
    </ns0:row>
    <ns0:row r="7" ht="25" customHeight="1">
      <ns0:c r="A7" t="str">
        <ns0:v>calculation_version</ns0:v>
      </ns0:c>
      <ns0:c r="B7" t="str">
        <ns0:v>2.0</ns0:v>
      </ns0:c>
      <ns0:c r="C7"/>
      <ns0:c r="D7"/>
    </ns0:row>
    <ns0:row r="8" ht="25" customHeight="1">
      <ns0:c r="A8" t="str">
        <ns0:v>pricing_variant</ns0:v>
      </ns0:c>
      <ns0:c r="B8" t="str">
        <ns0:v>KIT_ONLY</ns0:v>
      </ns0:c>
      <ns0:c r="C8"/>
      <ns0:c r="D8"/>
    </ns0:row>
    <ns0:row r="9" ht="25" customHeight="1">
      <ns0:c r="A9" t="str">
        <ns0:v>construction_arrangement</ns0:v>
      </ns0:c>
      <ns0:c r="B9" t="str">
        <ns0:f>'Pricing V2'!B5</ns0:f>
        <ns0:v>SUPPLY_ONLY</ns0:v>
      </ns0:c>
      <ns0:c r="C9"/>
      <ns0:c r="D9"/>
    </ns0:row>
    <ns0:row r="10" ht="25" customHeight="1">
      <ns0:c r="A10" t="str">
        <ns0:v>quote_reference</ns0:v>
      </ns0:c>
      <ns0:c r="B10" t="n">
        <ns0:f>'SH Pricing'!B9</ns0:f>
        <ns0:v>0</ns0:v>
      </ns0:c>
      <ns0:c r="C10"/>
      <ns0:c r="D10"/>
    </ns0:row>
    <ns0:row r="11" ht="25" customHeight="1">
      <ns0:c r="A11" t="str">
        <ns0:v>customer_name</ns0:v>
      </ns0:c>
      <ns0:c r="B11" t="n">
        <ns0:f>'SH Pricing'!B7</ns0:f>
        <ns0:v>0</ns0:v>
      </ns0:c>
      <ns0:c r="C11"/>
      <ns0:c r="D11"/>
    </ns0:row>
    <ns0:row r="12" ht="25" customHeight="1">
      <ns0:c r="A12" t="str">
        <ns0:v>site_address</ns0:v>
      </ns0:c>
      <ns0:c r="B12" t="n">
        <ns0:f>'SH Pricing'!B8</ns0:f>
        <ns0:v>0</ns0:v>
      </ns0:c>
      <ns0:c r="C12"/>
      <ns0:c r="D12"/>
    </ns0:row>
    <ns0:row r="13" ht="25" customHeight="1">
      <ns0:c r="A13" t="str">
        <ns0:v>quote_date</ns0:v>
      </ns0:c>
      <ns0:c r="B13" t="n">
        <ns0:f>'SH Pricing'!B10</ns0:f>
        <ns0:v>46310</ns0:v>
      </ns0:c>
      <ns0:c r="C13"/>
      <ns0:c r="D13"/>
    </ns0:row>
    <ns0:row r="14" ht="25" customHeight="1">
      <ns0:c r="A14" t="str">
        <ns0:v>valid_until</ns0:v>
      </ns0:c>
      <ns0:c r="B14" t="n">
        <ns0:f>'Pricing V2'!B66</ns0:f>
        <ns0:v>46340</ns0:v>
      </ns0:c>
      <ns0:c r="C14"/>
      <ns0:c r="D14"/>
    </ns0:row>
    <ns0:row r="15" ht="25" customHeight="1">
      <ns0:c r="A15" t="str">
        <ns0:v>currency</ns0:v>
      </ns0:c>
      <ns0:c r="B15" t="str">
        <ns0:v>NZD</ns0:v>
      </ns0:c>
      <ns0:c r="C15"/>
      <ns0:c r="D15"/>
    </ns0:row>
    <ns0:row r="16" ht="25" customHeight="1">
      <ns0:c r="A16" t="str">
        <ns0:v>rate_set</ns0:v>
      </ns0:c>
      <ns0:c r="B16" t="str">
        <ns0:v>See Pricing V2 B12:B16, B23 and SH Pricing E13; percentages stored as fractions</ns0:v>
      </ns0:c>
      <ns0:c r="C16"/>
      <ns0:c r="D16"/>
    </ns0:row>
    <ns0:row r="17" ht="25" customHeight="1">
      <ns0:c r="A17" t="str">
        <ns0:v>residential_area_m2</ns0:v>
      </ns0:c>
      <ns0:c r="B17" t="n">
        <ns0:f>'Pricing V2'!B8</ns0:f>
        <ns0:v>0</ns0:v>
      </ns0:c>
      <ns0:c r="C17"/>
      <ns0:c r="D17"/>
    </ns0:row>
    <ns0:row r="18" ht="25" customHeight="1">
      <ns0:c r="A18" t="str">
        <ns0:v>garage_area_m2</ns0:v>
      </ns0:c>
      <ns0:c r="B18" t="n">
        <ns0:f>'Pricing V2'!B9</ns0:f>
        <ns0:v>0</ns0:v>
      </ns0:c>
      <ns0:c r="C18"/>
      <ns0:c r="D18"/>
    </ns0:row>
    <ns0:row r="19" ht="25" customHeight="1">
      <ns0:c r="A19" t="str">
        <ns0:v>total_enclosed_area_m2</ns0:v>
      </ns0:c>
      <ns0:c r="B19" t="n">
        <ns0:f>'Pricing V2'!B4</ns0:f>
        <ns0:v>0</ns0:v>
      </ns0:c>
      <ns0:c r="C19"/>
      <ns0:c r="D19"/>
    </ns0:row>
    <ns0:row r="20" ht="25" customHeight="1">
      <ns0:c r="A20" t="str">
        <ns0:v>kit_cost_ex_gst</ns0:v>
      </ns0:c>
      <ns0:c r="B20" t="n">
        <ns0:f>'Pricing V2'!B40</ns0:f>
        <ns0:v>63927.38</ns0:v>
      </ns0:c>
      <ns0:c r="C20"/>
      <ns0:c r="D20"/>
    </ns0:row>
    <ns0:row r="21" ht="25" customHeight="1">
      <ns0:c r="A21" t="str">
        <ns0:v>kit_sale_ex_gst</ns0:v>
      </ns0:c>
      <ns0:c r="B21" t="n">
        <ns0:f>'Pricing V2'!B41</ns0:f>
        <ns0:v>91324.83</ns0:v>
      </ns0:c>
      <ns0:c r="C21"/>
      <ns0:c r="D21"/>
    </ns0:row>
    <ns0:row r="22" ht="25" customHeight="1">
      <ns0:c r="A22" t="str">
        <ns0:v>kit_profit_ex_gst</ns0:v>
      </ns0:c>
      <ns0:c r="B22" t="n">
        <ns0:f>'Pricing V2'!B42</ns0:f>
        <ns0:v>27397.45</ns0:v>
      </ns0:c>
      <ns0:c r="C22"/>
      <ns0:c r="D22"/>
    </ns0:row>
    <ns0:row r="23" ht="25" customHeight="1">
      <ns0:c r="A23" t="str">
        <ns0:v>construction_sale_ex_gst</ns0:v>
      </ns0:c>
      <ns0:c r="B23" t="n">
        <ns0:f>'Pricing V2'!B45</ns0:f>
        <ns0:v>0</ns0:v>
      </ns0:c>
      <ns0:c r="C23"/>
      <ns0:c r="D23"/>
    </ns0:row>
    <ns0:row r="24" ht="25" customHeight="1">
      <ns0:c r="A24" t="str">
        <ns0:v>construction_cost_ex_gst</ns0:v>
      </ns0:c>
      <ns0:c r="B24" t="n">
        <ns0:f>'Pricing V2'!B43</ns0:f>
        <ns0:v>0</ns0:v>
      </ns0:c>
      <ns0:c r="C24"/>
      <ns0:c r="D24"/>
    </ns0:row>
    <ns0:row r="25" ht="25" customHeight="1">
      <ns0:c r="A25" t="str">
        <ns0:v>construction_profit_ex_gst</ns0:v>
      </ns0:c>
      <ns0:c r="B25" t="n">
        <ns0:f>'Pricing V2'!B46</ns0:f>
        <ns0:v>0</ns0:v>
      </ns0:c>
      <ns0:c r="C25"/>
      <ns0:c r="D25"/>
    </ns0:row>
    <ns0:row r="26" ht="25" customHeight="1">
      <ns0:c r="A26" t="str">
        <ns0:v>contingency_reserve_ex_gst</ns0:v>
      </ns0:c>
      <ns0:c r="B26" t="n">
        <ns0:f>'Pricing V2'!B44</ns0:f>
        <ns0:v>0</ns0:v>
      </ns0:c>
      <ns0:c r="C26"/>
      <ns0:c r="D26"/>
    </ns0:row>
    <ns0:row r="27" ht="25" customHeight="1">
      <ns0:c r="A27" t="str">
        <ns0:v>construction_profit_after_reserve_ex_gst</ns0:v>
      </ns0:c>
      <ns0:c r="B27" t="n">
        <ns0:f>'Pricing V2'!B47</ns0:f>
        <ns0:v>0</ns0:v>
      </ns0:c>
      <ns0:c r="C27"/>
      <ns0:c r="D27"/>
    </ns0:row>
    <ns0:row r="28" ht="25" customHeight="1">
      <ns0:c r="A28" t="str">
        <ns0:v>portal_revenue_ex_gst</ns0:v>
      </ns0:c>
      <ns0:c r="B28" t="n">
        <ns0:v>0</ns0:v>
      </ns0:c>
      <ns0:c r="C28"/>
      <ns0:c r="D28"/>
    </ns0:row>
    <ns0:row r="29" ht="25" customHeight="1">
      <ns0:c r="A29" t="str">
        <ns0:v>portal_cost_ex_gst</ns0:v>
      </ns0:c>
      <ns0:c r="B29" t="n">
        <ns0:v>0</ns0:v>
      </ns0:c>
      <ns0:c r="C29"/>
      <ns0:c r="D29"/>
    </ns0:row>
    <ns0:row r="30" ht="25" customHeight="1">
      <ns0:c r="A30" t="str">
        <ns0:v>third_party_budget_ex_gst</ns0:v>
      </ns0:c>
      <ns0:c r="B30" t="n">
        <ns0:f>'Pricing V2'!B48</ns0:f>
        <ns0:v>0</ns0:v>
      </ns0:c>
      <ns0:c r="C30"/>
      <ns0:c r="D30"/>
    </ns0:row>
    <ns0:row r="31" ht="25" customHeight="1">
      <ns0:c r="A31" t="str">
        <ns0:v>total_ex_gst</ns0:v>
      </ns0:c>
      <ns0:c r="B31" t="n">
        <ns0:f>'Pricing V2'!B50</ns0:f>
        <ns0:v>91324.83</ns0:v>
      </ns0:c>
      <ns0:c r="C31"/>
      <ns0:c r="D31"/>
    </ns0:row>
    <ns0:row r="32" ht="25" customHeight="1">
      <ns0:c r="A32" t="str">
        <ns0:v>gst_rate</ns0:v>
      </ns0:c>
      <ns0:c r="B32" t="n">
        <ns0:f>'SH Pricing'!E13</ns0:f>
        <ns0:v>0.15</ns0:v>
      </ns0:c>
      <ns0:c r="C32"/>
      <ns0:c r="D32"/>
    </ns0:row>
    <ns0:row r="33" ht="25" customHeight="1">
      <ns0:c r="A33" t="str">
        <ns0:v>gst_amount</ns0:v>
      </ns0:c>
      <ns0:c r="B33" t="n">
        <ns0:f>'Pricing V2'!B51</ns0:f>
        <ns0:v>13698.72</ns0:v>
      </ns0:c>
      <ns0:c r="C33"/>
      <ns0:c r="D33"/>
    </ns0:row>
    <ns0:row r="34" ht="25" customHeight="1">
      <ns0:c r="A34" t="str">
        <ns0:v>total_inc_gst</ns0:v>
      </ns0:c>
      <ns0:c r="B34" t="n">
        <ns0:f>'Pricing V2'!B52</ns0:f>
        <ns0:v>105023.55</ns0:v>
      </ns0:c>
      <ns0:c r="C34"/>
      <ns0:c r="D34"/>
    </ns0:row>
    <ns0:row r="35" ht="25" customHeight="1">
      <ns0:c r="A35" t="str">
        <ns0:v>combined_rate_ex_gst</ns0:v>
      </ns0:c>
      <ns0:c r="B35" t="n">
        <ns0:f>'Pricing V2'!B61</ns0:f>
        <ns0:v>0</ns0:v>
      </ns0:c>
      <ns0:c r="C35"/>
      <ns0:c r="D35"/>
    </ns0:row>
    <ns0:row r="36" ht="25" customHeight="1">
      <ns0:c r="A36" t="str">
        <ns0:v>colour_band</ns0:v>
      </ns0:c>
      <ns0:c r="B36" t="str">
        <ns0:f>'Pricing V2'!B62</ns0:f>
        <ns0:v>Not comparable</ns0:v>
      </ns0:c>
      <ns0:c r="C36"/>
      <ns0:c r="D36"/>
    </ns0:row>
    <ns0:row r="37" ht="25" customHeight="1">
      <ns0:c r="A37" t="str">
        <ns0:v>issue_status</ns0:v>
      </ns0:c>
      <ns0:c r="B37" t="str">
        <ns0:f>IF('Pricing V2'!B72="Ready to issue","Awaiting approval","Draft")</ns0:f>
        <ns0:v>Draft</ns0:v>
      </ns0:c>
      <ns0:c r="C37"/>
      <ns0:c r="D37"/>
    </ns0:row>
    <ns0:row r="38" ht="25" customHeight="1">
      <ns0:c r="A38" t="str">
        <ns0:v>details</ns0:v>
      </ns0:c>
      <ns0:c r="B38" t="str">
        <ns0:v>See Pricing V2 rows 27:34 and SH Pricing cost inputs; SHP importer must map structured records</ns0:v>
      </ns0:c>
      <ns0:c r="C38"/>
      <ns0:c r="D38"/>
    </ns0:row>
  </ns0:sheetData>
  <ns0:sheetProtection sheet="1" objects="1" scenarios="1" selectLockedCells="0" selectUnlockedCells="0"/>
  <ns0:pageMargins left="0.7" right="0.7" top="0.75" bottom="0.75" header="0.3" footer="0.3"/>
  <ns0:drawing ns1:id="R43b88ba7672b4797"/>
</ns0:worksheet>
</file>

<file path=xl/worksheets/sheet5.xml><?xml version="1.0" encoding="utf-8"?>
<ns0:worksheet xmlns:ns0="http://schemas.openxmlformats.org/spreadsheetml/2006/main" xmlns:ns1="http://schemas.openxmlformats.org/officeDocument/2006/relationships">
  <ns0:sheetPr>
    <ns0:tabColor rgb="FFF3EBE1"/>
  </ns0:sheetPr>
  <ns0:sheetViews>
    <ns0:sheetView showGridLines="0" workbookViewId="0"/>
  </ns0:sheetViews>
  <ns0:sheetFormatPr defaultRowHeight="15"/>
  <ns0:cols>
    <ns0:col min="1" max="1" width="27" hidden="0" customWidth="1"/>
    <ns0:col min="2" max="2" width="23" hidden="0" customWidth="1"/>
    <ns0:col min="3" max="3" width="23" hidden="0" customWidth="1"/>
    <ns0:col min="4" max="4" width="23" hidden="0" customWidth="1"/>
    <ns0:col min="5" max="5" width="23" hidden="0" customWidth="1"/>
    <ns0:col min="6" max="6" width="23" hidden="0" customWidth="1"/>
  </ns0:cols>
  <ns0:sheetData>
    <ns0:row r="1" ht="135" customHeight="1">
      <ns0:c r="A1" s="36"/>
      <ns0:c r="B1" s="36"/>
      <ns0:c r="C1" s="36"/>
      <ns0:c r="D1" s="36"/>
      <ns0:c r="E1" s="36"/>
      <ns0:c r="F1" s="36"/>
    </ns0:row>
    <ns0:row r="2" ht="27" customHeight="1">
      <ns0:c r="A2" s="48" t="str">
        <ns0:v>Shed House | Spreadsheet brand guide</ns0:v>
      </ns0:c>
      <ns0:c r="B2" s="49"/>
      <ns0:c r="C2" s="49"/>
      <ns0:c r="D2" s="49"/>
      <ns0:c r="E2" s="49"/>
      <ns0:c r="F2" s="49"/>
    </ns0:row>
    <ns0:row r="3" ht="27" customHeight="1">
      <ns0:c r="A3" s="36"/>
      <ns0:c r="B3" s="36"/>
      <ns0:c r="C3" s="36"/>
      <ns0:c r="D3" s="36"/>
      <ns0:c r="E3" s="36"/>
      <ns0:c r="F3" s="36"/>
    </ns0:row>
    <ns0:row r="4" ht="27" customHeight="1">
      <ns0:c r="A4" s="36" t="str">
        <ns0:v>Brand colours</ns0:v>
      </ns0:c>
      <ns0:c r="B4" s="39" t="str">
        <ns0:v>HEX values from the supplied Shed House brand guidelines.</ns0:v>
      </ns0:c>
      <ns0:c r="C4" s="39"/>
      <ns0:c r="D4" s="39"/>
      <ns0:c r="E4" s="39"/>
      <ns0:c r="F4" s="39"/>
    </ns0:row>
    <ns0:row r="5" ht="27" customHeight="1">
      <ns0:c r="A5" s="36"/>
      <ns0:c r="B5" s="36"/>
      <ns0:c r="C5" s="36"/>
      <ns0:c r="D5" s="36"/>
      <ns0:c r="E5" s="36"/>
      <ns0:c r="F5" s="36"/>
    </ns0:row>
    <ns0:row r="6" ht="27" customHeight="1">
      <ns0:c r="A6" s="36" t="str">
        <ns0:v>Dark turquoise</ns0:v>
      </ns0:c>
      <ns0:c r="B6" s="36" t="str">
        <ns0:v>#20353C</ns0:v>
      </ns0:c>
      <ns0:c r="C6" s="81"/>
      <ns0:c r="D6" s="81"/>
      <ns0:c r="E6" s="81"/>
      <ns0:c r="F6" s="81"/>
    </ns0:row>
    <ns0:row r="7" ht="27" customHeight="1">
      <ns0:c r="A7" s="36" t="str">
        <ns0:v>Construction yellow</ns0:v>
      </ns0:c>
      <ns0:c r="B7" s="36" t="str">
        <ns0:v>#FAA21F</ns0:v>
      </ns0:c>
      <ns0:c r="C7" s="82"/>
      <ns0:c r="D7" s="82"/>
      <ns0:c r="E7" s="82"/>
      <ns0:c r="F7" s="82"/>
    </ns0:row>
    <ns0:row r="8" ht="27" customHeight="1">
      <ns0:c r="A8" s="36" t="str">
        <ns0:v>Linen</ns0:v>
      </ns0:c>
      <ns0:c r="B8" s="36" t="str">
        <ns0:v>#F3EBE1</ns0:v>
      </ns0:c>
      <ns0:c r="C8" s="66"/>
      <ns0:c r="D8" s="66"/>
      <ns0:c r="E8" s="66"/>
      <ns0:c r="F8" s="66"/>
    </ns0:row>
    <ns0:row r="9" ht="27" customHeight="1">
      <ns0:c r="A9" s="36"/>
      <ns0:c r="B9" s="36"/>
      <ns0:c r="C9" s="36"/>
      <ns0:c r="D9" s="36"/>
      <ns0:c r="E9" s="36"/>
      <ns0:c r="F9" s="36"/>
    </ns0:row>
    <ns0:row r="10" ht="42" customHeight="1">
      <ns0:c r="A10" s="36" t="str">
        <ns0:v>Typography</ns0:v>
      </ns0:c>
      <ns0:c r="B10" s="39" t="str">
        <ns0:v>Kit Sans is the primary brand typeface. These workbooks specify Work Sans, the approved alternative.</ns0:v>
      </ns0:c>
      <ns0:c r="C10" s="39"/>
      <ns0:c r="D10" s="39"/>
      <ns0:c r="E10" s="39"/>
      <ns0:c r="F10" s="39"/>
    </ns0:row>
    <ns0:row r="11" ht="42" customHeight="1">
      <ns0:c r="A11" s="36" t="str">
        <ns0:v>Font availability</ns0:v>
      </ns0:c>
      <ns0:c r="B11" s="39" t="str">
        <ns0:v>Work Sans is not embedded in XLSX. Install or activate it locally to prevent Excel substituting a system font.</ns0:v>
      </ns0:c>
      <ns0:c r="C11" s="39"/>
      <ns0:c r="D11" s="39"/>
      <ns0:c r="E11" s="39"/>
      <ns0:c r="F11" s="39"/>
    </ns0:row>
    <ns0:row r="12" ht="27" customHeight="1">
      <ns0:c r="A12" s="36"/>
      <ns0:c r="B12" s="36"/>
      <ns0:c r="C12" s="36"/>
      <ns0:c r="D12" s="36"/>
      <ns0:c r="E12" s="36"/>
      <ns0:c r="F12" s="36"/>
    </ns0:row>
    <ns0:row r="13" ht="42" customHeight="1">
      <ns0:c r="A13" s="36" t="str">
        <ns0:v>Logo</ns0:v>
      </ns0:c>
      <ns0:c r="B13" s="39" t="str">
        <ns0:v>Use the supplied primary logo. Keep proportions, colours, orientation and all logo elements intact.</ns0:v>
      </ns0:c>
      <ns0:c r="C13" s="39"/>
      <ns0:c r="D13" s="39"/>
      <ns0:c r="E13" s="39"/>
      <ns0:c r="F13" s="39"/>
    </ns0:row>
    <ns0:row r="14" ht="42" customHeight="1">
      <ns0:c r="A14" s="36" t="str">
        <ns0:v>Clear space</ns0:v>
      </ns0:c>
      <ns0:c r="B14" s="39" t="str">
        <ns0:v>Preserve the supplied logo asset margins. Do not place text, borders or other objects inside its clear space.</ns0:v>
      </ns0:c>
      <ns0:c r="C14" s="39"/>
      <ns0:c r="D14" s="39"/>
      <ns0:c r="E14" s="39"/>
      <ns0:c r="F14" s="39"/>
    </ns0:row>
    <ns0:row r="15" ht="42" customHeight="1">
      <ns0:c r="A15" s="36" t="str">
        <ns0:v>Minimum size</ns0:v>
      </ns0:c>
      <ns0:c r="B15" s="39" t="str">
        <ns0:v>The guideline specifies 50 px / 20 mm logo height. Check the final PDF or print scale before issuing.</ns0:v>
      </ns0:c>
      <ns0:c r="C15" s="39"/>
      <ns0:c r="D15" s="39"/>
      <ns0:c r="E15" s="39"/>
      <ns0:c r="F15" s="39"/>
    </ns0:row>
    <ns0:row r="16" ht="27" customHeight="1">
      <ns0:c r="A16" s="36"/>
      <ns0:c r="B16" s="36"/>
      <ns0:c r="C16" s="36"/>
      <ns0:c r="D16" s="36"/>
      <ns0:c r="E16" s="36"/>
      <ns0:c r="F16" s="36"/>
    </ns0:row>
    <ns0:row r="17" ht="42" customHeight="1">
      <ns0:c r="A17" s="36" t="str">
        <ns0:v>Workbook styling</ns0:v>
      </ns0:c>
      <ns0:c r="B17" s="39" t="str">
        <ns0:v>Dark turquoise headers, construction yellow accents and linen editable cells. White space keeps pricing legible.</ns0:v>
      </ns0:c>
      <ns0:c r="C17" s="39"/>
      <ns0:c r="D17" s="39"/>
      <ns0:c r="E17" s="39"/>
      <ns0:c r="F17" s="39"/>
    </ns0:row>
    <ns0:row r="18" ht="42" customHeight="1">
      <ns0:c r="A18" s="36" t="str">
        <ns0:v>Logo format</ns0:v>
      </ns0:c>
      <ns0:c r="B18" s="39" t="str">
        <ns0:v>The supplied RGB transparent PNG is embedded for on-screen spreadsheets and PDF export.</ns0:v>
      </ns0:c>
      <ns0:c r="C18" s="39"/>
      <ns0:c r="D18" s="39"/>
      <ns0:c r="E18" s="39"/>
      <ns0:c r="F18" s="39"/>
    </ns0:row>
    <ns0:row r="19" ht="27" customHeight="1">
      <ns0:c r="A19" s="36"/>
      <ns0:c r="B19" s="36"/>
      <ns0:c r="C19" s="36"/>
      <ns0:c r="D19" s="36"/>
      <ns0:c r="E19" s="36"/>
      <ns0:c r="F19" s="36"/>
    </ns0:row>
    <ns0:row r="20" ht="42" customHeight="1">
      <ns0:c r="A20" s="36" t="str">
        <ns0:v>Source documents</ns0:v>
      </ns0:c>
      <ns0:c r="B20" s="39" t="str">
        <ns0:v>Shed House Branding Guidlines.pdf, pages 7–13; Using Your New Logo.pdf, pages 2–4.</ns0:v>
      </ns0:c>
      <ns0:c r="C20" s="39"/>
      <ns0:c r="D20" s="39"/>
      <ns0:c r="E20" s="39"/>
      <ns0:c r="F20" s="39"/>
    </ns0:row>
    <ns0:row r="21" ht="27" customHeight="1">
      <ns0:c r="A21" s="36" t="str">
        <ns0:v>Font source</ns0:v>
      </ns0:c>
      <ns0:c r="B21" s="39" t="str">
        <ns0:v>Fonts / Fonts READ ME.txt identifies Work Sans as the alternative to Kit Sans.</ns0:v>
      </ns0:c>
      <ns0:c r="C21" s="39"/>
      <ns0:c r="D21" s="39"/>
      <ns0:c r="E21" s="39"/>
      <ns0:c r="F21" s="39"/>
    </ns0:row>
    <ns0:row r="22" ht="27" customHeight="1">
      <ns0:c r="A22" s="36"/>
      <ns0:c r="B22" s="36"/>
      <ns0:c r="C22" s="36"/>
      <ns0:c r="D22" s="36"/>
      <ns0:c r="E22" s="36"/>
      <ns0:c r="F22" s="36"/>
    </ns0:row>
    <ns0:row r="23" ht="42" customHeight="1">
      <ns0:c r="A23" s="36" t="str">
        <ns0:v>Customer documents</ns0:v>
      </ns0:c>
      <ns0:c r="B23" s="39" t="str">
        <ns0:v>Export Customer Quote only. Internal costs, pricing controls and SHP transfer fields remain for SH use.</ns0:v>
      </ns0:c>
      <ns0:c r="C23" s="39"/>
      <ns0:c r="D23" s="39"/>
      <ns0:c r="E23" s="39"/>
      <ns0:c r="F23" s="39"/>
    </ns0:row>
    <ns0:row r="24" ht="27" customHeight="1">
      <ns0:c r="A24" s="36"/>
      <ns0:c r="B24" s="36"/>
      <ns0:c r="C24" s="36"/>
      <ns0:c r="D24" s="36"/>
      <ns0:c r="E24" s="36"/>
      <ns0:c r="F24" s="36"/>
    </ns0:row>
    <ns0:row r="25" ht="27" customHeight="1">
      <ns0:c r="A25" s="36"/>
      <ns0:c r="B25" s="36"/>
      <ns0:c r="C25" s="36"/>
      <ns0:c r="D25" s="36"/>
      <ns0:c r="E25" s="36"/>
      <ns0:c r="F25" s="36"/>
    </ns0:row>
  </ns0:sheetData>
  <ns0:sheetProtection sheet="1" objects="1" scenarios="1" selectLockedCells="0" selectUnlockedCells="0"/>
  <ns0:mergeCells>
    <ns0:mergeCell ref="A2:F2"/>
    <ns0:mergeCell ref="B4:F4"/>
    <ns0:mergeCell ref="C6:F6"/>
    <ns0:mergeCell ref="C7:F7"/>
    <ns0:mergeCell ref="C8:F8"/>
    <ns0:mergeCell ref="B10:F10"/>
    <ns0:mergeCell ref="B11:F11"/>
    <ns0:mergeCell ref="B13:F13"/>
    <ns0:mergeCell ref="B14:F14"/>
    <ns0:mergeCell ref="B15:F15"/>
    <ns0:mergeCell ref="B17:F17"/>
    <ns0:mergeCell ref="B18:F18"/>
    <ns0:mergeCell ref="B20:F20"/>
    <ns0:mergeCell ref="B21:F21"/>
    <ns0:mergeCell ref="B23:F23"/>
  </ns0:mergeCells>
  <ns0:pageMargins left="0.7" right="0.7" top="0.75" bottom="0.75" header="0.3" footer="0.3"/>
  <ns0:drawing ns1:id="Refd603aae2a94ef5"/>
</ns0:worksheet>
</file>

<file path=xl/worksheets/sheet6.xml><?xml version="1.0" encoding="utf-8"?>
<ns0:worksheet xmlns:ns0="http://schemas.openxmlformats.org/spreadsheetml/2006/main" xmlns:ns1="http://schemas.openxmlformats.org/officeDocument/2006/relationships">
  <ns0:sheetPr>
    <ns0:tabColor rgb="FF20353C"/>
  </ns0:sheetPr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8" hidden="0" customWidth="1"/>
    <ns0:col min="2" max="2" width="26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40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6" hidden="0" customWidth="1"/>
    <ns0:col min="17" max="17" width="16" hidden="0" customWidth="1"/>
    <ns0:col min="18" max="18" width="16" hidden="0" customWidth="1"/>
  </ns0:cols>
  <ns0:sheetData>
    <ns0:row r="1" ht="135" customHeight="1">
      <ns0:c r="A1" s="36"/>
      <ns0:c r="B1" s="36"/>
      <ns0:c r="C1" s="36"/>
      <ns0:c r="D1" s="36"/>
      <ns0:c r="E1" s="36"/>
      <ns0:c r="F1" s="36"/>
      <ns0:c r="G1" s="36"/>
      <ns0:c r="H1" s="36"/>
      <ns0:c r="I1" s="36"/>
      <ns0:c r="J1" s="36"/>
      <ns0:c r="K1" s="36"/>
      <ns0:c r="L1" s="36"/>
      <ns0:c r="M1" s="36"/>
      <ns0:c r="N1" s="36"/>
      <ns0:c r="O1" s="36"/>
      <ns0:c r="P1" s="36"/>
      <ns0:c r="Q1" s="36"/>
      <ns0:c r="R1" s="36"/>
    </ns0:row>
    <ns0:row r="2" ht="24" customHeight="1">
      <ns0:c r="A2" s="37" t="str">
        <ns0:v>SH pricing specification 2.0</ns0:v>
      </ns0:c>
      <ns0:c r="B2" s="36"/>
      <ns0:c r="C2" s="36"/>
      <ns0:c r="D2" s="36"/>
      <ns0:c r="E2" s="36"/>
      <ns0:c r="F2" s="36"/>
      <ns0:c r="G2" s="36"/>
      <ns0:c r="H2" s="36"/>
      <ns0:c r="I2" s="36"/>
      <ns0:c r="J2" s="36"/>
      <ns0:c r="K2" s="36"/>
      <ns0:c r="L2" s="36"/>
      <ns0:c r="M2" s="36"/>
      <ns0:c r="N2" s="36"/>
      <ns0:c r="O2" s="36"/>
      <ns0:c r="P2" s="36"/>
      <ns0:c r="Q2" s="36"/>
      <ns0:c r="R2" s="36"/>
    </ns0:row>
    <ns0:row r="3" ht="36" customHeight="1">
      <ns0:c r="A3" s="39" t="str">
        <ns0:v>Internal SH use. Linen cells are inputs. Detailed costs drive the quote; area targets remain provisional comparisons.</ns0:v>
      </ns0:c>
      <ns0:c r="B3" s="39"/>
      <ns0:c r="C3" s="39"/>
      <ns0:c r="D3" s="39"/>
      <ns0:c r="E3" s="39"/>
      <ns0:c r="F3" s="39"/>
      <ns0:c r="G3" s="36"/>
      <ns0:c r="H3" s="36"/>
      <ns0:c r="I3" s="36"/>
      <ns0:c r="J3" s="36"/>
      <ns0:c r="K3" s="36"/>
      <ns0:c r="L3" s="36"/>
      <ns0:c r="M3" s="36"/>
      <ns0:c r="N3" s="36"/>
      <ns0:c r="O3" s="36"/>
      <ns0:c r="P3" s="36"/>
      <ns0:c r="Q3" s="36"/>
      <ns0:c r="R3" s="36"/>
    </ns0:row>
    <ns0:row r="4" ht="24" customHeight="1">
      <ns0:c r="A4" s="36" t="str">
        <ns0:v>Total enclosed floor area (m²)</ns0:v>
      </ns0:c>
      <ns0:c r="B4" s="102" t="n">
        <ns0:v>0</ns0:v>
      </ns0:c>
      <ns0:c r="C4" s="36"/>
      <ns0:c r="D4" s="36"/>
      <ns0:c r="E4" s="36"/>
      <ns0:c r="F4" s="36"/>
      <ns0:c r="G4" s="36"/>
      <ns0:c r="H4" s="36"/>
      <ns0:c r="I4" s="36"/>
      <ns0:c r="J4" s="36"/>
      <ns0:c r="K4" s="36"/>
      <ns0:c r="L4" s="36"/>
      <ns0:c r="M4" s="36"/>
      <ns0:c r="N4" s="36"/>
      <ns0:c r="O4" s="36"/>
      <ns0:c r="P4" s="36"/>
      <ns0:c r="Q4" s="36"/>
      <ns0:c r="R4" s="36"/>
    </ns0:row>
    <ns0:row r="5" ht="24" customHeight="1">
      <ns0:c r="A5" s="36" t="str">
        <ns0:v>Construction arrangement</ns0:v>
      </ns0:c>
      <ns0:c r="B5" s="102" t="str">
        <ns0:v>SUPPLY_ONLY</ns0:v>
      </ns0:c>
      <ns0:c r="C5" s="36"/>
      <ns0:c r="D5" s="36" t="str">
        <ns0:v>Quote status</ns0:v>
      </ns0:c>
      <ns0:c r="E5" s="36" t="str">
        <ns0:f>IF(B72="Ready to issue","Ready to issue",B72)</ns0:f>
        <ns0:v>Reconcile enclosed floor areas</ns0:v>
      </ns0:c>
      <ns0:c r="F5" s="36"/>
      <ns0:c r="G5" s="36"/>
      <ns0:c r="H5" s="36"/>
      <ns0:c r="I5" s="36"/>
      <ns0:c r="J5" s="36"/>
      <ns0:c r="K5" s="36"/>
      <ns0:c r="L5" s="36"/>
      <ns0:c r="M5" s="36"/>
      <ns0:c r="N5" s="36"/>
      <ns0:c r="O5" s="36"/>
      <ns0:c r="P5" s="36"/>
      <ns0:c r="Q5" s="36"/>
      <ns0:c r="R5" s="36"/>
    </ns0:row>
    <ns0:row r="6" ht="24" customHeight="1">
      <ns0:c r="A6" s="36" t="str">
        <ns0:v>Workflow</ns0:v>
      </ns0:c>
      <ns0:c r="B6" s="36" t="str">
        <ns0:v>KIT_ONLY</ns0:v>
      </ns0:c>
      <ns0:c r="C6" s="36"/>
      <ns0:c r="D6" s="36"/>
      <ns0:c r="E6" s="36"/>
      <ns0:c r="F6" s="36"/>
      <ns0:c r="G6" s="36"/>
      <ns0:c r="H6" s="36"/>
      <ns0:c r="I6" s="36"/>
      <ns0:c r="J6" s="36"/>
      <ns0:c r="K6" s="36"/>
      <ns0:c r="L6" s="36"/>
      <ns0:c r="M6" s="36"/>
      <ns0:c r="N6" s="36"/>
      <ns0:c r="O6" s="36"/>
      <ns0:c r="P6" s="36"/>
      <ns0:c r="Q6" s="36"/>
      <ns0:c r="R6" s="36"/>
    </ns0:row>
    <ns0:row r="7" ht="36" customHeight="1">
      <ns0:c r="A7" s="39" t="str">
        <ns0:v>Areas: outside face of external walls; shared wall at centreline. Separate mezzanines and outdoor areas.</ns0:v>
      </ns0:c>
      <ns0:c r="B7" s="39"/>
      <ns0:c r="C7" s="39"/>
      <ns0:c r="D7" s="39"/>
      <ns0:c r="E7" s="39"/>
      <ns0:c r="F7" s="39"/>
      <ns0:c r="G7" s="39"/>
      <ns0:c r="H7" s="39"/>
      <ns0:c r="I7" s="36"/>
      <ns0:c r="J7" s="36"/>
      <ns0:c r="K7" s="36"/>
      <ns0:c r="L7" s="36"/>
      <ns0:c r="M7" s="36"/>
      <ns0:c r="N7" s="36"/>
      <ns0:c r="O7" s="36"/>
      <ns0:c r="P7" s="36"/>
      <ns0:c r="Q7" s="36"/>
      <ns0:c r="R7" s="36"/>
    </ns0:row>
    <ns0:row r="8" ht="24" customHeight="1">
      <ns0:c r="A8" s="36" t="str">
        <ns0:v>Residential floor area (m²)</ns0:v>
      </ns0:c>
      <ns0:c r="B8" s="102" t="n">
        <ns0:v>0</ns0:v>
      </ns0:c>
      <ns0:c r="C8" s="36"/>
      <ns0:c r="D8" s="36" t="str">
        <ns0:v>Kit discount</ns0:v>
      </ns0:c>
      <ns0:c r="E8" s="103" t="n">
        <ns0:v>0</ns0:v>
      </ns0:c>
      <ns0:c r="F8" s="36"/>
      <ns0:c r="G8" s="36"/>
      <ns0:c r="H8" s="36"/>
      <ns0:c r="I8" s="36"/>
      <ns0:c r="J8" s="36"/>
      <ns0:c r="K8" s="36"/>
      <ns0:c r="L8" s="36"/>
      <ns0:c r="M8" s="36"/>
      <ns0:c r="N8" s="36"/>
      <ns0:c r="O8" s="36"/>
      <ns0:c r="P8" s="36"/>
      <ns0:c r="Q8" s="36"/>
      <ns0:c r="R8" s="36"/>
    </ns0:row>
    <ns0:row r="9" ht="24" customHeight="1">
      <ns0:c r="A9" s="36" t="str">
        <ns0:v>Garage/shed floor area (m²)</ns0:v>
      </ns0:c>
      <ns0:c r="B9" s="102" t="n">
        <ns0:v>0</ns0:v>
      </ns0:c>
      <ns0:c r="C9" s="36"/>
      <ns0:c r="D9" s="36"/>
      <ns0:c r="E9" s="36"/>
      <ns0:c r="F9" s="36"/>
      <ns0:c r="G9" s="36"/>
      <ns0:c r="H9" s="36"/>
      <ns0:c r="I9" s="36"/>
      <ns0:c r="J9" s="36"/>
      <ns0:c r="K9" s="36"/>
      <ns0:c r="L9" s="36"/>
      <ns0:c r="M9" s="36"/>
      <ns0:c r="N9" s="36"/>
      <ns0:c r="O9" s="36"/>
      <ns0:c r="P9" s="36"/>
      <ns0:c r="Q9" s="36"/>
      <ns0:c r="R9" s="36"/>
    </ns0:row>
    <ns0:row r="10" ht="36" customHeight="1">
      <ns0:c r="A10" s="39" t="str">
        <ns0:v>Rates: user-approved internal targets pending validation. Reference 70% residential / 30% garage = $2,250/m².</ns0:v>
      </ns0:c>
      <ns0:c r="B10" s="39"/>
      <ns0:c r="C10" s="39"/>
      <ns0:c r="D10" s="39"/>
      <ns0:c r="E10" s="39"/>
      <ns0:c r="F10" s="39"/>
      <ns0:c r="G10" s="39"/>
      <ns0:c r="H10" s="39"/>
      <ns0:c r="I10" s="36"/>
      <ns0:c r="J10" s="36"/>
      <ns0:c r="K10" s="36"/>
      <ns0:c r="L10" s="36"/>
      <ns0:c r="M10" s="36"/>
      <ns0:c r="N10" s="36"/>
      <ns0:c r="O10" s="36"/>
      <ns0:c r="P10" s="36"/>
      <ns0:c r="Q10" s="36"/>
      <ns0:c r="R10" s="36"/>
    </ns0:row>
    <ns0:row r="11" ht="36" customHeight="1">
      <ns0:c r="A11" s="39" t="str">
        <ns0:v>Target scope excludes site-specific work. Area allowances must be replaced by detailed costs, never added to them.</ns0:v>
      </ns0:c>
      <ns0:c r="B11" s="39"/>
      <ns0:c r="C11" s="39"/>
      <ns0:c r="D11" s="39"/>
      <ns0:c r="E11" s="39"/>
      <ns0:c r="F11" s="39"/>
      <ns0:c r="G11" s="39"/>
      <ns0:c r="H11" s="39"/>
      <ns0:c r="I11" s="36"/>
      <ns0:c r="J11" s="36"/>
      <ns0:c r="K11" s="36"/>
      <ns0:c r="L11" s="36"/>
      <ns0:c r="M11" s="36"/>
      <ns0:c r="N11" s="36"/>
      <ns0:c r="O11" s="36"/>
      <ns0:c r="P11" s="36"/>
      <ns0:c r="Q11" s="36"/>
      <ns0:c r="R11" s="36"/>
    </ns0:row>
    <ns0:row r="12" ht="24" customHeight="1">
      <ns0:c r="A12" s="36" t="str">
        <ns0:v>Residential selling target / m²</ns0:v>
      </ns0:c>
      <ns0:c r="B12" s="103" t="n">
        <ns0:v>2700</ns0:v>
      </ns0:c>
      <ns0:c r="C12" s="36"/>
      <ns0:c r="D12" s="36"/>
      <ns0:c r="E12" s="36"/>
      <ns0:c r="F12" s="36"/>
      <ns0:c r="G12" s="36"/>
      <ns0:c r="H12" s="36"/>
      <ns0:c r="I12" s="36"/>
      <ns0:c r="J12" s="36"/>
      <ns0:c r="K12" s="36"/>
      <ns0:c r="L12" s="36"/>
      <ns0:c r="M12" s="36"/>
      <ns0:c r="N12" s="36"/>
      <ns0:c r="O12" s="36"/>
      <ns0:c r="P12" s="36"/>
      <ns0:c r="Q12" s="36"/>
      <ns0:c r="R12" s="36"/>
    </ns0:row>
    <ns0:row r="13" ht="24" customHeight="1">
      <ns0:c r="A13" s="36" t="str">
        <ns0:v>Garage selling target / m²</ns0:v>
      </ns0:c>
      <ns0:c r="B13" s="103" t="n">
        <ns0:v>1200</ns0:v>
      </ns0:c>
      <ns0:c r="C13" s="36"/>
      <ns0:c r="D13" s="36"/>
      <ns0:c r="E13" s="36"/>
      <ns0:c r="F13" s="36"/>
      <ns0:c r="G13" s="36"/>
      <ns0:c r="H13" s="36"/>
      <ns0:c r="I13" s="36"/>
      <ns0:c r="J13" s="36"/>
      <ns0:c r="K13" s="36"/>
      <ns0:c r="L13" s="36"/>
      <ns0:c r="M13" s="36"/>
      <ns0:c r="N13" s="36"/>
      <ns0:c r="O13" s="36"/>
      <ns0:c r="P13" s="36"/>
      <ns0:c r="Q13" s="36"/>
      <ns0:c r="R13" s="36"/>
    </ns0:row>
    <ns0:row r="14" ht="24" customHeight="1">
      <ns0:c r="A14" s="36" t="str">
        <ns0:v>Kit gross margin</ns0:v>
      </ns0:c>
      <ns0:c r="B14" s="104" t="n">
        <ns0:v>0.3</ns0:v>
      </ns0:c>
      <ns0:c r="C14" s="36"/>
      <ns0:c r="D14" s="36"/>
      <ns0:c r="E14" s="36"/>
      <ns0:c r="F14" s="36"/>
      <ns0:c r="G14" s="36"/>
      <ns0:c r="H14" s="36"/>
      <ns0:c r="I14" s="36"/>
      <ns0:c r="J14" s="36"/>
      <ns0:c r="K14" s="36"/>
      <ns0:c r="L14" s="36"/>
      <ns0:c r="M14" s="36"/>
      <ns0:c r="N14" s="36"/>
      <ns0:c r="O14" s="36"/>
      <ns0:c r="P14" s="36"/>
      <ns0:c r="Q14" s="36"/>
      <ns0:c r="R14" s="36"/>
    </ns0:row>
    <ns0:row r="15" ht="24" customHeight="1">
      <ns0:c r="A15" s="36" t="str">
        <ns0:v>Construction gross margin</ns0:v>
      </ns0:c>
      <ns0:c r="B15" s="104" t="n">
        <ns0:v>0.1</ns0:v>
      </ns0:c>
      <ns0:c r="C15" s="36"/>
      <ns0:c r="D15" s="36"/>
      <ns0:c r="E15" s="36"/>
      <ns0:c r="F15" s="36"/>
      <ns0:c r="G15" s="36"/>
      <ns0:c r="H15" s="36"/>
      <ns0:c r="I15" s="36"/>
      <ns0:c r="J15" s="36"/>
      <ns0:c r="K15" s="36"/>
      <ns0:c r="L15" s="36"/>
      <ns0:c r="M15" s="36"/>
      <ns0:c r="N15" s="36"/>
      <ns0:c r="O15" s="36"/>
      <ns0:c r="P15" s="36"/>
      <ns0:c r="Q15" s="36"/>
      <ns0:c r="R15" s="36"/>
    </ns0:row>
    <ns0:row r="16" ht="24" customHeight="1">
      <ns0:c r="A16" s="36" t="str">
        <ns0:v>Contingency on uncertain SH costs</ns0:v>
      </ns0:c>
      <ns0:c r="B16" s="104" t="n">
        <ns0:v>0.05</ns0:v>
      </ns0:c>
      <ns0:c r="C16" s="36"/>
      <ns0:c r="D16" s="36"/>
      <ns0:c r="E16" s="36"/>
      <ns0:c r="F16" s="36"/>
      <ns0:c r="G16" s="36"/>
      <ns0:c r="H16" s="36"/>
      <ns0:c r="I16" s="36"/>
      <ns0:c r="J16" s="36"/>
      <ns0:c r="K16" s="36"/>
      <ns0:c r="L16" s="36"/>
      <ns0:c r="M16" s="36"/>
      <ns0:c r="N16" s="36"/>
      <ns0:c r="O16" s="36"/>
      <ns0:c r="P16" s="36"/>
      <ns0:c r="Q16" s="36"/>
      <ns0:c r="R16" s="36"/>
    </ns0:row>
    <ns0:row r="17" ht="24" customHeight="1">
      <ns0:c r="A17" s="36" t="str">
        <ns0:v>Rates / allowances validated?</ns0:v>
      </ns0:c>
      <ns0:c r="B17" s="102" t="str">
        <ns0:v>No</ns0:v>
      </ns0:c>
      <ns0:c r="C17" s="36"/>
      <ns0:c r="D17" s="36"/>
      <ns0:c r="E17" s="36"/>
      <ns0:c r="F17" s="36"/>
      <ns0:c r="G17" s="36"/>
      <ns0:c r="H17" s="36"/>
      <ns0:c r="I17" s="36"/>
      <ns0:c r="J17" s="36"/>
      <ns0:c r="K17" s="36"/>
      <ns0:c r="L17" s="36"/>
      <ns0:c r="M17" s="36"/>
      <ns0:c r="N17" s="36"/>
      <ns0:c r="O17" s="36"/>
      <ns0:c r="P17" s="36"/>
      <ns0:c r="Q17" s="36"/>
      <ns0:c r="R17" s="36"/>
    </ns0:row>
    <ns0:row r="18" ht="24" customHeight="1">
      <ns0:c r="A18" s="36" t="str">
        <ns0:v>Complete standard scope confirmed?</ns0:v>
      </ns0:c>
      <ns0:c r="B18" s="102" t="str">
        <ns0:v>No</ns0:v>
      </ns0:c>
      <ns0:c r="C18" s="36"/>
      <ns0:c r="D18" s="36"/>
      <ns0:c r="E18" s="36"/>
      <ns0:c r="F18" s="36"/>
      <ns0:c r="G18" s="36"/>
      <ns0:c r="H18" s="36"/>
      <ns0:c r="I18" s="36"/>
      <ns0:c r="J18" s="36"/>
      <ns0:c r="K18" s="36"/>
      <ns0:c r="L18" s="36"/>
      <ns0:c r="M18" s="36"/>
      <ns0:c r="N18" s="36"/>
      <ns0:c r="O18" s="36"/>
      <ns0:c r="P18" s="36"/>
      <ns0:c r="Q18" s="36"/>
      <ns0:c r="R18" s="36"/>
    </ns0:row>
    <ns0:row r="19" ht="24" customHeight="1">
      <ns0:c r="A19" s="36" t="str">
        <ns0:v>Approver email</ns0:v>
      </ns0:c>
      <ns0:c r="B19" s="102" t="str"/>
      <ns0:c r="C19" s="36"/>
      <ns0:c r="D19" s="36"/>
      <ns0:c r="E19" s="36"/>
      <ns0:c r="F19" s="36"/>
      <ns0:c r="G19" s="36"/>
      <ns0:c r="H19" s="36"/>
      <ns0:c r="I19" s="36"/>
      <ns0:c r="J19" s="36"/>
      <ns0:c r="K19" s="36"/>
      <ns0:c r="L19" s="36"/>
      <ns0:c r="M19" s="36"/>
      <ns0:c r="N19" s="36"/>
      <ns0:c r="O19" s="36"/>
      <ns0:c r="P19" s="36"/>
      <ns0:c r="Q19" s="36"/>
      <ns0:c r="R19" s="36"/>
    </ns0:row>
    <ns0:row r="20" ht="24" customHeight="1">
      <ns0:c r="A20" s="36" t="str">
        <ns0:v>Approval date</ns0:v>
      </ns0:c>
      <ns0:c r="B20" s="105"/>
      <ns0:c r="C20" s="36"/>
      <ns0:c r="D20" s="36"/>
      <ns0:c r="E20" s="36"/>
      <ns0:c r="F20" s="36"/>
      <ns0:c r="G20" s="36"/>
      <ns0:c r="H20" s="36"/>
      <ns0:c r="I20" s="36"/>
      <ns0:c r="J20" s="36"/>
      <ns0:c r="K20" s="36"/>
      <ns0:c r="L20" s="36"/>
      <ns0:c r="M20" s="36"/>
      <ns0:c r="N20" s="36"/>
      <ns0:c r="O20" s="36"/>
      <ns0:c r="P20" s="36"/>
      <ns0:c r="Q20" s="36"/>
      <ns0:c r="R20" s="36"/>
    </ns0:row>
    <ns0:row r="21" ht="24" customHeight="1">
      <ns0:c r="A21" s="36" t="str">
        <ns0:v>Override explanation</ns0:v>
      </ns0:c>
      <ns0:c r="B21" s="102" t="str"/>
      <ns0:c r="C21" s="36"/>
      <ns0:c r="D21" s="36"/>
      <ns0:c r="E21" s="36"/>
      <ns0:c r="F21" s="36"/>
      <ns0:c r="G21" s="36"/>
      <ns0:c r="H21" s="36"/>
      <ns0:c r="I21" s="36"/>
      <ns0:c r="J21" s="36"/>
      <ns0:c r="K21" s="36"/>
      <ns0:c r="L21" s="36"/>
      <ns0:c r="M21" s="36"/>
      <ns0:c r="N21" s="36"/>
      <ns0:c r="O21" s="36"/>
      <ns0:c r="P21" s="36"/>
      <ns0:c r="Q21" s="36"/>
      <ns0:c r="R21" s="36"/>
    </ns0:row>
    <ns0:row r="22" ht="24" customHeight="1">
      <ns0:c r="A22" s="36" t="str">
        <ns0:v>Earliest supplier/trade expiry</ns0:v>
      </ns0:c>
      <ns0:c r="B22" s="105"/>
      <ns0:c r="C22" s="36"/>
      <ns0:c r="D22" s="36"/>
      <ns0:c r="E22" s="36"/>
      <ns0:c r="F22" s="36"/>
      <ns0:c r="G22" s="36"/>
      <ns0:c r="H22" s="36"/>
      <ns0:c r="I22" s="36"/>
      <ns0:c r="J22" s="36"/>
      <ns0:c r="K22" s="36"/>
      <ns0:c r="L22" s="36"/>
      <ns0:c r="M22" s="36"/>
      <ns0:c r="N22" s="36"/>
      <ns0:c r="O22" s="36"/>
      <ns0:c r="P22" s="36"/>
      <ns0:c r="Q22" s="36"/>
      <ns0:c r="R22" s="36"/>
    </ns0:row>
    <ns0:row r="23" ht="24" customHeight="1">
      <ns0:c r="A23" s="36" t="str">
        <ns0:v>Rate version</ns0:v>
      </ns0:c>
      <ns0:c r="B23" s="36" t="str">
        <ns0:v>SH-2026-V2-1</ns0:v>
      </ns0:c>
      <ns0:c r="C23" s="36"/>
      <ns0:c r="D23" s="36"/>
      <ns0:c r="E23" s="36"/>
      <ns0:c r="F23" s="36"/>
      <ns0:c r="G23" s="36"/>
      <ns0:c r="H23" s="36"/>
      <ns0:c r="I23" s="36"/>
      <ns0:c r="J23" s="36"/>
      <ns0:c r="K23" s="36"/>
      <ns0:c r="L23" s="36"/>
      <ns0:c r="M23" s="36"/>
      <ns0:c r="N23" s="36"/>
      <ns0:c r="O23" s="36"/>
      <ns0:c r="P23" s="36"/>
      <ns0:c r="Q23" s="36"/>
      <ns0:c r="R23" s="36"/>
    </ns0:row>
    <ns0:row r="24" ht="24" customHeight="1">
      <ns0:c r="A24" s="36" t="str">
        <ns0:v>Assessment date</ns0:v>
      </ns0:c>
      <ns0:c r="B24" s="105" t="d">
        <ns0:v>2026-10-16T00:00:00.000Z</ns0:v>
      </ns0:c>
      <ns0:c r="C24" s="36"/>
      <ns0:c r="D24" s="36"/>
      <ns0:c r="E24" s="36"/>
      <ns0:c r="F24" s="36"/>
      <ns0:c r="G24" s="36"/>
      <ns0:c r="H24" s="36"/>
      <ns0:c r="I24" s="36"/>
      <ns0:c r="J24" s="36"/>
      <ns0:c r="K24" s="36"/>
      <ns0:c r="L24" s="36"/>
      <ns0:c r="M24" s="36"/>
      <ns0:c r="N24" s="36"/>
      <ns0:c r="O24" s="36"/>
      <ns0:c r="P24" s="36"/>
      <ns0:c r="Q24" s="36"/>
      <ns0:c r="R24" s="36"/>
    </ns0:row>
    <ns0:row r="25" ht="24" customHeight="1">
      <ns0:c r="A25" s="36"/>
      <ns0:c r="B25" s="36"/>
      <ns0:c r="C25" s="36"/>
      <ns0:c r="D25" s="36"/>
      <ns0:c r="E25" s="36"/>
      <ns0:c r="F25" s="36"/>
      <ns0:c r="G25" s="36"/>
      <ns0:c r="H25" s="36"/>
      <ns0:c r="I25" s="36"/>
      <ns0:c r="J25" s="36"/>
      <ns0:c r="K25" s="36"/>
      <ns0:c r="L25" s="36"/>
      <ns0:c r="M25" s="36"/>
      <ns0:c r="N25" s="36"/>
      <ns0:c r="O25" s="36"/>
      <ns0:c r="P25" s="36"/>
      <ns0:c r="Q25" s="36"/>
      <ns0:c r="R25" s="36"/>
    </ns0:row>
    <ns0:row r="26" ht="28" customHeight="1">
      <ns0:c r="A26" s="90" t="str">
        <ns0:v>Package</ns0:v>
      </ns0:c>
      <ns0:c r="B26" s="90" t="str">
        <ns0:v>Include</ns0:v>
      </ns0:c>
      <ns0:c r="C26" s="90" t="str">
        <ns0:v>Payer</ns0:v>
      </ns0:c>
      <ns0:c r="D26" s="90" t="str">
        <ns0:v>Area category</ns0:v>
      </ns0:c>
      <ns0:c r="E26" s="90" t="str">
        <ns0:v>Comparable</ns0:v>
      </ns0:c>
      <ns0:c r="F26" s="90" t="str">
        <ns0:v>Uncertain</ns0:v>
      </ns0:c>
      <ns0:c r="G26" s="90" t="str">
        <ns0:v>Scope / source</ns0:v>
      </ns0:c>
      <ns0:c r="H26" s="90" t="str">
        <ns0:v>Unit</ns0:v>
      </ns0:c>
      <ns0:c r="I26" s="90" t="str">
        <ns0:v>Quantity</ns0:v>
      </ns0:c>
      <ns0:c r="J26" s="90" t="str">
        <ns0:v>Unit cost</ns0:v>
      </ns0:c>
      <ns0:c r="K26" s="90" t="str">
        <ns0:v>Margin</ns0:v>
      </ns0:c>
      <ns0:c r="L26" s="90" t="str">
        <ns0:v>Direct cost</ns0:v>
      </ns0:c>
      <ns0:c r="M26" s="90" t="str">
        <ns0:v>Contingency</ns0:v>
      </ns0:c>
      <ns0:c r="N26" s="90" t="str">
        <ns0:v>SH sale</ns0:v>
      </ns0:c>
      <ns0:c r="O26" s="90" t="str">
        <ns0:v>Third-party budget</ns0:v>
      </ns0:c>
      <ns0:c r="P26" s="90" t="str">
        <ns0:v>Input status</ns0:v>
      </ns0:c>
      <ns0:c r="Q26" s="90" t="str">
        <ns0:v>SH discount</ns0:v>
      </ns0:c>
      <ns0:c r="R26" s="90" t="str">
        <ns0:v>Quote expiry</ns0:v>
      </ns0:c>
    </ns0:row>
    <ns0:row r="27" ht="36" customHeight="1">
      <ns0:c r="A27" s="36" t="str">
        <ns0:v>SLAB</ns0:v>
      </ns0:c>
      <ns0:c r="B27" s="102" t="str">
        <ns0:v>No</ns0:v>
      </ns0:c>
      <ns0:c r="C27" s="102" t="str">
        <ns0:v>SH</ns0:v>
      </ns0:c>
      <ns0:c r="D27" s="102" t="str">
        <ns0:v>SHARED</ns0:v>
      </ns0:c>
      <ns0:c r="E27" s="102" t="str">
        <ns0:v>No</ns0:v>
      </ns0:c>
      <ns0:c r="F27" s="102" t="str">
        <ns0:v>No</ns0:v>
      </ns0:c>
      <ns0:c r="G27" s="102"/>
      <ns0:c r="H27" s="102" t="str">
        <ns0:v>sum</ns0:v>
      </ns0:c>
      <ns0:c r="I27" s="102" t="n">
        <ns0:v>1</ns0:v>
      </ns0:c>
      <ns0:c r="J27" s="103"/>
      <ns0:c r="K27" s="104" t="n">
        <ns0:f>$B$15</ns0:f>
        <ns0:v>0.1</ns0:v>
      </ns0:c>
      <ns0:c r="L27" s="41" t="n">
        <ns0:f>IF(AND(B27="Yes",P27="Valid"),I27*J27,0)</ns0:f>
        <ns0:v>0</ns0:v>
      </ns0:c>
      <ns0:c r="M27" s="41" t="n">
        <ns0:f>IF(AND(C27="SH",F27="Yes"),ROUND(L27*$B$16,2),0)</ns0:f>
        <ns0:v>0</ns0:v>
      </ns0:c>
      <ns0:c r="N27" s="41" t="n">
        <ns0:f>IF(AND(B27="Yes",C27="SH",P27="Valid"),ROUND((L27+M27)/(1-K27)-Q27,2),0)</ns0:f>
        <ns0:v>0</ns0:v>
      </ns0:c>
      <ns0:c r="O27" s="41" t="n">
        <ns0:f>IF(AND(B27="Yes",C27="CUSTOMER",P27="Valid"),ROUND(L27,2),0)</ns0:f>
        <ns0:v>0</ns0:v>
      </ns0:c>
      <ns0:c r="P27" s="36" t="str">
        <ns0:f>IF(AND(B27="Yes",OR(AND($B$5="SH_MANAGED",C27="CUSTOMER"),NOT(ISNUMBER(Q27)),Q27&lt;0,AND(R27&lt;&gt;"",NOT(ISNUMBER(R27))),AND(C27="SH",ISNUMBER(K27),K27&lt;1,ISNUMBER(J27),ISNUMBER(I27),ROUND((I27*J27+IF(F27="Yes",ROUND(I27*J27*$B$16,2),0))/(1-K27)-Q27,2)&lt;0))),"Check payer, discount or expiry",IF(B27="No","Valid",IF($B$5="SUPPLY_ONLY","Supply-only cannot include work",IF(AND(B27="Yes",OR(C27="SH",C27="CUSTOMER"),OR(D27="RESIDENTIAL",D27="GARAGE_SHED",D27="SHARED",D27="SITE_SPECIFIC"),OR(E27="Yes",E27="No"),OR(F27="Yes",F27="No"),LEN(TRIM(G27))&gt;0,OR(H27="sum",H27="m2",H27="m3",H27="m",H27="hr",H27="each"),COUNT(I27:J27)=2,I27&gt;0,J27&gt;=0,OR(C27="CUSTOMER",AND(ISNUMBER(K27),K27&gt;=0,K27&lt;1))),"Valid","Complete package inputs"))))</ns0:f>
        <ns0:v>Valid</ns0:v>
      </ns0:c>
      <ns0:c r="Q27" s="103" t="n">
        <ns0:v>0</ns0:v>
      </ns0:c>
      <ns0:c r="R27" s="105"/>
    </ns0:row>
    <ns0:row r="28" ht="36" customHeight="1">
      <ns0:c r="A28" s="36" t="str">
        <ns0:v>SITE</ns0:v>
      </ns0:c>
      <ns0:c r="B28" s="102" t="str">
        <ns0:v>No</ns0:v>
      </ns0:c>
      <ns0:c r="C28" s="102" t="str">
        <ns0:v>SH</ns0:v>
      </ns0:c>
      <ns0:c r="D28" s="102" t="str">
        <ns0:v>SITE_SPECIFIC</ns0:v>
      </ns0:c>
      <ns0:c r="E28" s="102" t="str">
        <ns0:v>No</ns0:v>
      </ns0:c>
      <ns0:c r="F28" s="102" t="str">
        <ns0:v>No</ns0:v>
      </ns0:c>
      <ns0:c r="G28" s="102"/>
      <ns0:c r="H28" s="102" t="str">
        <ns0:v>sum</ns0:v>
      </ns0:c>
      <ns0:c r="I28" s="102" t="n">
        <ns0:v>1</ns0:v>
      </ns0:c>
      <ns0:c r="J28" s="103"/>
      <ns0:c r="K28" s="104" t="n">
        <ns0:f>$B$15</ns0:f>
        <ns0:v>0.1</ns0:v>
      </ns0:c>
      <ns0:c r="L28" s="41" t="n">
        <ns0:f>IF(AND(B28="Yes",P28="Valid"),I28*J28,0)</ns0:f>
        <ns0:v>0</ns0:v>
      </ns0:c>
      <ns0:c r="M28" s="41" t="n">
        <ns0:f>IF(AND(C28="SH",F28="Yes"),ROUND(L28*$B$16,2),0)</ns0:f>
        <ns0:v>0</ns0:v>
      </ns0:c>
      <ns0:c r="N28" s="41" t="n">
        <ns0:f>IF(AND(B28="Yes",C28="SH",P28="Valid"),ROUND((L28+M28)/(1-K28)-Q28,2),0)</ns0:f>
        <ns0:v>0</ns0:v>
      </ns0:c>
      <ns0:c r="O28" s="41" t="n">
        <ns0:f>IF(AND(B28="Yes",C28="CUSTOMER",P28="Valid"),ROUND(L28,2),0)</ns0:f>
        <ns0:v>0</ns0:v>
      </ns0:c>
      <ns0:c r="P28" s="36" t="str">
        <ns0:f>IF(AND(B28="Yes",OR(AND($B$5="SH_MANAGED",C28="CUSTOMER"),NOT(ISNUMBER(Q28)),Q28&lt;0,AND(R28&lt;&gt;"",NOT(ISNUMBER(R28))),AND(C28="SH",ISNUMBER(K28),K28&lt;1,ISNUMBER(J28),ISNUMBER(I28),ROUND((I28*J28+IF(F28="Yes",ROUND(I28*J28*$B$16,2),0))/(1-K28)-Q28,2)&lt;0))),"Check payer, discount or expiry",IF(B28="No","Valid",IF($B$5="SUPPLY_ONLY","Supply-only cannot include work",IF(AND(B28="Yes",OR(C28="SH",C28="CUSTOMER"),OR(D28="RESIDENTIAL",D28="GARAGE_SHED",D28="SHARED",D28="SITE_SPECIFIC"),OR(E28="Yes",E28="No"),OR(F28="Yes",F28="No"),LEN(TRIM(G28))&gt;0,OR(H28="sum",H28="m2",H28="m3",H28="m",H28="hr",H28="each"),COUNT(I28:J28)=2,I28&gt;0,J28&gt;=0,OR(C28="CUSTOMER",AND(ISNUMBER(K28),K28&gt;=0,K28&lt;1))),"Valid","Complete package inputs"))))</ns0:f>
        <ns0:v>Valid</ns0:v>
      </ns0:c>
      <ns0:c r="Q28" s="103" t="n">
        <ns0:v>0</ns0:v>
      </ns0:c>
      <ns0:c r="R28" s="105"/>
    </ns0:row>
    <ns0:row r="29" ht="36" customHeight="1">
      <ns0:c r="A29" s="36" t="str">
        <ns0:v>ERECTION</ns0:v>
      </ns0:c>
      <ns0:c r="B29" s="102" t="str">
        <ns0:v>No</ns0:v>
      </ns0:c>
      <ns0:c r="C29" s="102" t="str">
        <ns0:v>SH</ns0:v>
      </ns0:c>
      <ns0:c r="D29" s="102" t="str">
        <ns0:v>SHARED</ns0:v>
      </ns0:c>
      <ns0:c r="E29" s="102" t="str">
        <ns0:v>No</ns0:v>
      </ns0:c>
      <ns0:c r="F29" s="102" t="str">
        <ns0:v>No</ns0:v>
      </ns0:c>
      <ns0:c r="G29" s="102"/>
      <ns0:c r="H29" s="102" t="str">
        <ns0:v>sum</ns0:v>
      </ns0:c>
      <ns0:c r="I29" s="102" t="n">
        <ns0:v>1</ns0:v>
      </ns0:c>
      <ns0:c r="J29" s="103"/>
      <ns0:c r="K29" s="104" t="n">
        <ns0:f>$B$15</ns0:f>
        <ns0:v>0.1</ns0:v>
      </ns0:c>
      <ns0:c r="L29" s="41" t="n">
        <ns0:f>IF(AND(B29="Yes",P29="Valid"),I29*J29,0)</ns0:f>
        <ns0:v>0</ns0:v>
      </ns0:c>
      <ns0:c r="M29" s="41" t="n">
        <ns0:f>IF(AND(C29="SH",F29="Yes"),ROUND(L29*$B$16,2),0)</ns0:f>
        <ns0:v>0</ns0:v>
      </ns0:c>
      <ns0:c r="N29" s="41" t="n">
        <ns0:f>IF(AND(B29="Yes",C29="SH",P29="Valid"),ROUND((L29+M29)/(1-K29)-Q29,2),0)</ns0:f>
        <ns0:v>0</ns0:v>
      </ns0:c>
      <ns0:c r="O29" s="41" t="n">
        <ns0:f>IF(AND(B29="Yes",C29="CUSTOMER",P29="Valid"),ROUND(L29,2),0)</ns0:f>
        <ns0:v>0</ns0:v>
      </ns0:c>
      <ns0:c r="P29" s="36" t="str">
        <ns0:f>IF(AND(B29="Yes",OR(AND($B$5="SH_MANAGED",C29="CUSTOMER"),NOT(ISNUMBER(Q29)),Q29&lt;0,AND(R29&lt;&gt;"",NOT(ISNUMBER(R29))),AND(C29="SH",ISNUMBER(K29),K29&lt;1,ISNUMBER(J29),ISNUMBER(I29),ROUND((I29*J29+IF(F29="Yes",ROUND(I29*J29*$B$16,2),0))/(1-K29)-Q29,2)&lt;0))),"Check payer, discount or expiry",IF(B29="No","Valid",IF($B$5="SUPPLY_ONLY","Supply-only cannot include work",IF(AND(B29="Yes",OR(C29="SH",C29="CUSTOMER"),OR(D29="RESIDENTIAL",D29="GARAGE_SHED",D29="SHARED",D29="SITE_SPECIFIC"),OR(E29="Yes",E29="No"),OR(F29="Yes",F29="No"),LEN(TRIM(G29))&gt;0,OR(H29="sum",H29="m2",H29="m3",H29="m",H29="hr",H29="each"),COUNT(I29:J29)=2,I29&gt;0,J29&gt;=0,OR(C29="CUSTOMER",AND(ISNUMBER(K29),K29&gt;=0,K29&lt;1))),"Valid","Complete package inputs"))))</ns0:f>
        <ns0:v>Valid</ns0:v>
      </ns0:c>
      <ns0:c r="Q29" s="103" t="n">
        <ns0:v>0</ns0:v>
      </ns0:c>
      <ns0:c r="R29" s="105"/>
    </ns0:row>
    <ns0:row r="30" ht="36" customHeight="1">
      <ns0:c r="A30" s="36" t="str">
        <ns0:v>PRELIMS</ns0:v>
      </ns0:c>
      <ns0:c r="B30" s="102" t="str">
        <ns0:v>No</ns0:v>
      </ns0:c>
      <ns0:c r="C30" s="102" t="str">
        <ns0:v>SH</ns0:v>
      </ns0:c>
      <ns0:c r="D30" s="102" t="str">
        <ns0:v>SHARED</ns0:v>
      </ns0:c>
      <ns0:c r="E30" s="102" t="str">
        <ns0:v>No</ns0:v>
      </ns0:c>
      <ns0:c r="F30" s="102" t="str">
        <ns0:v>No</ns0:v>
      </ns0:c>
      <ns0:c r="G30" s="102"/>
      <ns0:c r="H30" s="102" t="str">
        <ns0:v>sum</ns0:v>
      </ns0:c>
      <ns0:c r="I30" s="102" t="n">
        <ns0:v>1</ns0:v>
      </ns0:c>
      <ns0:c r="J30" s="103"/>
      <ns0:c r="K30" s="104" t="n">
        <ns0:f>$B$15</ns0:f>
        <ns0:v>0.1</ns0:v>
      </ns0:c>
      <ns0:c r="L30" s="41" t="n">
        <ns0:f>IF(AND(B30="Yes",P30="Valid"),I30*J30,0)</ns0:f>
        <ns0:v>0</ns0:v>
      </ns0:c>
      <ns0:c r="M30" s="41" t="n">
        <ns0:f>IF(AND(C30="SH",F30="Yes"),ROUND(L30*$B$16,2),0)</ns0:f>
        <ns0:v>0</ns0:v>
      </ns0:c>
      <ns0:c r="N30" s="41" t="n">
        <ns0:f>IF(AND(B30="Yes",C30="SH",P30="Valid"),ROUND((L30+M30)/(1-K30)-Q30,2),0)</ns0:f>
        <ns0:v>0</ns0:v>
      </ns0:c>
      <ns0:c r="O30" s="41" t="n">
        <ns0:f>IF(AND(B30="Yes",C30="CUSTOMER",P30="Valid"),ROUND(L30,2),0)</ns0:f>
        <ns0:v>0</ns0:v>
      </ns0:c>
      <ns0:c r="P30" s="36" t="str">
        <ns0:f>IF(AND(B30="Yes",OR(AND($B$5="SH_MANAGED",C30="CUSTOMER"),NOT(ISNUMBER(Q30)),Q30&lt;0,AND(R30&lt;&gt;"",NOT(ISNUMBER(R30))),AND(C30="SH",ISNUMBER(K30),K30&lt;1,ISNUMBER(J30),ISNUMBER(I30),ROUND((I30*J30+IF(F30="Yes",ROUND(I30*J30*$B$16,2),0))/(1-K30)-Q30,2)&lt;0))),"Check payer, discount or expiry",IF(B30="No","Valid",IF($B$5="SUPPLY_ONLY","Supply-only cannot include work",IF(AND(B30="Yes",OR(C30="SH",C30="CUSTOMER"),OR(D30="RESIDENTIAL",D30="GARAGE_SHED",D30="SHARED",D30="SITE_SPECIFIC"),OR(E30="Yes",E30="No"),OR(F30="Yes",F30="No"),LEN(TRIM(G30))&gt;0,OR(H30="sum",H30="m2",H30="m3",H30="m",H30="hr",H30="each"),COUNT(I30:J30)=2,I30&gt;0,J30&gt;=0,OR(C30="CUSTOMER",AND(ISNUMBER(K30),K30&gt;=0,K30&lt;1))),"Valid","Complete package inputs"))))</ns0:f>
        <ns0:v>Valid</ns0:v>
      </ns0:c>
      <ns0:c r="Q30" s="103" t="n">
        <ns0:v>0</ns0:v>
      </ns0:c>
      <ns0:c r="R30" s="105"/>
    </ns0:row>
    <ns0:row r="31" ht="36" customHeight="1">
      <ns0:c r="A31" s="36" t="str">
        <ns0:v>CONSENT</ns0:v>
      </ns0:c>
      <ns0:c r="B31" s="102" t="str">
        <ns0:v>No</ns0:v>
      </ns0:c>
      <ns0:c r="C31" s="102" t="str">
        <ns0:v>SH</ns0:v>
      </ns0:c>
      <ns0:c r="D31" s="102" t="str">
        <ns0:v>SITE_SPECIFIC</ns0:v>
      </ns0:c>
      <ns0:c r="E31" s="102" t="str">
        <ns0:v>No</ns0:v>
      </ns0:c>
      <ns0:c r="F31" s="102" t="str">
        <ns0:v>No</ns0:v>
      </ns0:c>
      <ns0:c r="G31" s="102"/>
      <ns0:c r="H31" s="102" t="str">
        <ns0:v>sum</ns0:v>
      </ns0:c>
      <ns0:c r="I31" s="102" t="n">
        <ns0:v>1</ns0:v>
      </ns0:c>
      <ns0:c r="J31" s="103"/>
      <ns0:c r="K31" s="104" t="n">
        <ns0:f>$B$15</ns0:f>
        <ns0:v>0.1</ns0:v>
      </ns0:c>
      <ns0:c r="L31" s="41" t="n">
        <ns0:f>IF(AND(B31="Yes",P31="Valid"),I31*J31,0)</ns0:f>
        <ns0:v>0</ns0:v>
      </ns0:c>
      <ns0:c r="M31" s="41" t="n">
        <ns0:f>IF(AND(C31="SH",F31="Yes"),ROUND(L31*$B$16,2),0)</ns0:f>
        <ns0:v>0</ns0:v>
      </ns0:c>
      <ns0:c r="N31" s="41" t="n">
        <ns0:f>IF(AND(B31="Yes",C31="SH",P31="Valid"),ROUND((L31+M31)/(1-K31)-Q31,2),0)</ns0:f>
        <ns0:v>0</ns0:v>
      </ns0:c>
      <ns0:c r="O31" s="41" t="n">
        <ns0:f>IF(AND(B31="Yes",C31="CUSTOMER",P31="Valid"),ROUND(L31,2),0)</ns0:f>
        <ns0:v>0</ns0:v>
      </ns0:c>
      <ns0:c r="P31" s="36" t="str">
        <ns0:f>IF(AND(B31="Yes",OR(AND($B$5="SH_MANAGED",C31="CUSTOMER"),NOT(ISNUMBER(Q31)),Q31&lt;0,AND(R31&lt;&gt;"",NOT(ISNUMBER(R31))),AND(C31="SH",ISNUMBER(K31),K31&lt;1,ISNUMBER(J31),ISNUMBER(I31),ROUND((I31*J31+IF(F31="Yes",ROUND(I31*J31*$B$16,2),0))/(1-K31)-Q31,2)&lt;0))),"Check payer, discount or expiry",IF(B31="No","Valid",IF($B$5="SUPPLY_ONLY","Supply-only cannot include work",IF(AND(B31="Yes",OR(C31="SH",C31="CUSTOMER"),OR(D31="RESIDENTIAL",D31="GARAGE_SHED",D31="SHARED",D31="SITE_SPECIFIC"),OR(E31="Yes",E31="No"),OR(F31="Yes",F31="No"),LEN(TRIM(G31))&gt;0,OR(H31="sum",H31="m2",H31="m3",H31="m",H31="hr",H31="each"),COUNT(I31:J31)=2,I31&gt;0,J31&gt;=0,OR(C31="CUSTOMER",AND(ISNUMBER(K31),K31&gt;=0,K31&lt;1))),"Valid","Complete package inputs"))))</ns0:f>
        <ns0:v>Valid</ns0:v>
      </ns0:c>
      <ns0:c r="Q31" s="103" t="n">
        <ns0:v>0</ns0:v>
      </ns0:c>
      <ns0:c r="R31" s="105"/>
    </ns0:row>
    <ns0:row r="32" ht="36" customHeight="1">
      <ns0:c r="A32" s="36" t="str">
        <ns0:v>ENGINEERING</ns0:v>
      </ns0:c>
      <ns0:c r="B32" s="102" t="str">
        <ns0:v>No</ns0:v>
      </ns0:c>
      <ns0:c r="C32" s="102" t="str">
        <ns0:v>SH</ns0:v>
      </ns0:c>
      <ns0:c r="D32" s="102" t="str">
        <ns0:v>SITE_SPECIFIC</ns0:v>
      </ns0:c>
      <ns0:c r="E32" s="102" t="str">
        <ns0:v>No</ns0:v>
      </ns0:c>
      <ns0:c r="F32" s="102" t="str">
        <ns0:v>No</ns0:v>
      </ns0:c>
      <ns0:c r="G32" s="102"/>
      <ns0:c r="H32" s="102" t="str">
        <ns0:v>sum</ns0:v>
      </ns0:c>
      <ns0:c r="I32" s="102" t="n">
        <ns0:v>1</ns0:v>
      </ns0:c>
      <ns0:c r="J32" s="103"/>
      <ns0:c r="K32" s="104" t="n">
        <ns0:f>$B$15</ns0:f>
        <ns0:v>0.1</ns0:v>
      </ns0:c>
      <ns0:c r="L32" s="41" t="n">
        <ns0:f>IF(AND(B32="Yes",P32="Valid"),I32*J32,0)</ns0:f>
        <ns0:v>0</ns0:v>
      </ns0:c>
      <ns0:c r="M32" s="41" t="n">
        <ns0:f>IF(AND(C32="SH",F32="Yes"),ROUND(L32*$B$16,2),0)</ns0:f>
        <ns0:v>0</ns0:v>
      </ns0:c>
      <ns0:c r="N32" s="41" t="n">
        <ns0:f>IF(AND(B32="Yes",C32="SH",P32="Valid"),ROUND((L32+M32)/(1-K32)-Q32,2),0)</ns0:f>
        <ns0:v>0</ns0:v>
      </ns0:c>
      <ns0:c r="O32" s="41" t="n">
        <ns0:f>IF(AND(B32="Yes",C32="CUSTOMER",P32="Valid"),ROUND(L32,2),0)</ns0:f>
        <ns0:v>0</ns0:v>
      </ns0:c>
      <ns0:c r="P32" s="36" t="str">
        <ns0:f>IF(AND(B32="Yes",OR(AND($B$5="SH_MANAGED",C32="CUSTOMER"),NOT(ISNUMBER(Q32)),Q32&lt;0,AND(R32&lt;&gt;"",NOT(ISNUMBER(R32))),AND(C32="SH",ISNUMBER(K32),K32&lt;1,ISNUMBER(J32),ISNUMBER(I32),ROUND((I32*J32+IF(F32="Yes",ROUND(I32*J32*$B$16,2),0))/(1-K32)-Q32,2)&lt;0))),"Check payer, discount or expiry",IF(B32="No","Valid",IF($B$5="SUPPLY_ONLY","Supply-only cannot include work",IF(AND(B32="Yes",OR(C32="SH",C32="CUSTOMER"),OR(D32="RESIDENTIAL",D32="GARAGE_SHED",D32="SHARED",D32="SITE_SPECIFIC"),OR(E32="Yes",E32="No"),OR(F32="Yes",F32="No"),LEN(TRIM(G32))&gt;0,OR(H32="sum",H32="m2",H32="m3",H32="m",H32="hr",H32="each"),COUNT(I32:J32)=2,I32&gt;0,J32&gt;=0,OR(C32="CUSTOMER",AND(ISNUMBER(K32),K32&gt;=0,K32&lt;1))),"Valid","Complete package inputs"))))</ns0:f>
        <ns0:v>Valid</ns0:v>
      </ns0:c>
      <ns0:c r="Q32" s="103" t="n">
        <ns0:v>0</ns0:v>
      </ns0:c>
      <ns0:c r="R32" s="105"/>
    </ns0:row>
    <ns0:row r="33" ht="36" customHeight="1">
      <ns0:c r="A33" s="36" t="str">
        <ns0:v>OTHER1</ns0:v>
      </ns0:c>
      <ns0:c r="B33" s="102" t="str">
        <ns0:v>No</ns0:v>
      </ns0:c>
      <ns0:c r="C33" s="102" t="str">
        <ns0:v>SH</ns0:v>
      </ns0:c>
      <ns0:c r="D33" s="102" t="str">
        <ns0:v>SHARED</ns0:v>
      </ns0:c>
      <ns0:c r="E33" s="102" t="str">
        <ns0:v>No</ns0:v>
      </ns0:c>
      <ns0:c r="F33" s="102" t="str">
        <ns0:v>No</ns0:v>
      </ns0:c>
      <ns0:c r="G33" s="102"/>
      <ns0:c r="H33" s="102" t="str">
        <ns0:v>sum</ns0:v>
      </ns0:c>
      <ns0:c r="I33" s="102" t="n">
        <ns0:v>1</ns0:v>
      </ns0:c>
      <ns0:c r="J33" s="103"/>
      <ns0:c r="K33" s="104" t="n">
        <ns0:f>$B$15</ns0:f>
        <ns0:v>0.1</ns0:v>
      </ns0:c>
      <ns0:c r="L33" s="41" t="n">
        <ns0:f>IF(AND(B33="Yes",P33="Valid"),I33*J33,0)</ns0:f>
        <ns0:v>0</ns0:v>
      </ns0:c>
      <ns0:c r="M33" s="41" t="n">
        <ns0:f>IF(AND(C33="SH",F33="Yes"),ROUND(L33*$B$16,2),0)</ns0:f>
        <ns0:v>0</ns0:v>
      </ns0:c>
      <ns0:c r="N33" s="41" t="n">
        <ns0:f>IF(AND(B33="Yes",C33="SH",P33="Valid"),ROUND((L33+M33)/(1-K33)-Q33,2),0)</ns0:f>
        <ns0:v>0</ns0:v>
      </ns0:c>
      <ns0:c r="O33" s="41" t="n">
        <ns0:f>IF(AND(B33="Yes",C33="CUSTOMER",P33="Valid"),ROUND(L33,2),0)</ns0:f>
        <ns0:v>0</ns0:v>
      </ns0:c>
      <ns0:c r="P33" s="36" t="str">
        <ns0:f>IF(AND(B33="Yes",OR(AND($B$5="SH_MANAGED",C33="CUSTOMER"),NOT(ISNUMBER(Q33)),Q33&lt;0,AND(R33&lt;&gt;"",NOT(ISNUMBER(R33))),AND(C33="SH",ISNUMBER(K33),K33&lt;1,ISNUMBER(J33),ISNUMBER(I33),ROUND((I33*J33+IF(F33="Yes",ROUND(I33*J33*$B$16,2),0))/(1-K33)-Q33,2)&lt;0))),"Check payer, discount or expiry",IF(B33="No","Valid",IF($B$5="SUPPLY_ONLY","Supply-only cannot include work",IF(AND(B33="Yes",OR(C33="SH",C33="CUSTOMER"),OR(D33="RESIDENTIAL",D33="GARAGE_SHED",D33="SHARED",D33="SITE_SPECIFIC"),OR(E33="Yes",E33="No"),OR(F33="Yes",F33="No"),LEN(TRIM(G33))&gt;0,OR(H33="sum",H33="m2",H33="m3",H33="m",H33="hr",H33="each"),COUNT(I33:J33)=2,I33&gt;0,J33&gt;=0,OR(C33="CUSTOMER",AND(ISNUMBER(K33),K33&gt;=0,K33&lt;1))),"Valid","Complete package inputs"))))</ns0:f>
        <ns0:v>Valid</ns0:v>
      </ns0:c>
      <ns0:c r="Q33" s="103" t="n">
        <ns0:v>0</ns0:v>
      </ns0:c>
      <ns0:c r="R33" s="105"/>
    </ns0:row>
    <ns0:row r="34" ht="36" customHeight="1">
      <ns0:c r="A34" s="36" t="str">
        <ns0:v>OTHER2</ns0:v>
      </ns0:c>
      <ns0:c r="B34" s="102" t="str">
        <ns0:v>No</ns0:v>
      </ns0:c>
      <ns0:c r="C34" s="102" t="str">
        <ns0:v>SH</ns0:v>
      </ns0:c>
      <ns0:c r="D34" s="102" t="str">
        <ns0:v>SHARED</ns0:v>
      </ns0:c>
      <ns0:c r="E34" s="102" t="str">
        <ns0:v>No</ns0:v>
      </ns0:c>
      <ns0:c r="F34" s="102" t="str">
        <ns0:v>No</ns0:v>
      </ns0:c>
      <ns0:c r="G34" s="102"/>
      <ns0:c r="H34" s="102" t="str">
        <ns0:v>sum</ns0:v>
      </ns0:c>
      <ns0:c r="I34" s="102" t="n">
        <ns0:v>1</ns0:v>
      </ns0:c>
      <ns0:c r="J34" s="103"/>
      <ns0:c r="K34" s="104" t="n">
        <ns0:f>$B$15</ns0:f>
        <ns0:v>0.1</ns0:v>
      </ns0:c>
      <ns0:c r="L34" s="41" t="n">
        <ns0:f>IF(AND(B34="Yes",P34="Valid"),I34*J34,0)</ns0:f>
        <ns0:v>0</ns0:v>
      </ns0:c>
      <ns0:c r="M34" s="41" t="n">
        <ns0:f>IF(AND(C34="SH",F34="Yes"),ROUND(L34*$B$16,2),0)</ns0:f>
        <ns0:v>0</ns0:v>
      </ns0:c>
      <ns0:c r="N34" s="41" t="n">
        <ns0:f>IF(AND(B34="Yes",C34="SH",P34="Valid"),ROUND((L34+M34)/(1-K34)-Q34,2),0)</ns0:f>
        <ns0:v>0</ns0:v>
      </ns0:c>
      <ns0:c r="O34" s="41" t="n">
        <ns0:f>IF(AND(B34="Yes",C34="CUSTOMER",P34="Valid"),ROUND(L34,2),0)</ns0:f>
        <ns0:v>0</ns0:v>
      </ns0:c>
      <ns0:c r="P34" s="36" t="str">
        <ns0:f>IF(AND(B34="Yes",OR(AND($B$5="SH_MANAGED",C34="CUSTOMER"),NOT(ISNUMBER(Q34)),Q34&lt;0,AND(R34&lt;&gt;"",NOT(ISNUMBER(R34))),AND(C34="SH",ISNUMBER(K34),K34&lt;1,ISNUMBER(J34),ISNUMBER(I34),ROUND((I34*J34+IF(F34="Yes",ROUND(I34*J34*$B$16,2),0))/(1-K34)-Q34,2)&lt;0))),"Check payer, discount or expiry",IF(B34="No","Valid",IF($B$5="SUPPLY_ONLY","Supply-only cannot include work",IF(AND(B34="Yes",OR(C34="SH",C34="CUSTOMER"),OR(D34="RESIDENTIAL",D34="GARAGE_SHED",D34="SHARED",D34="SITE_SPECIFIC"),OR(E34="Yes",E34="No"),OR(F34="Yes",F34="No"),LEN(TRIM(G34))&gt;0,OR(H34="sum",H34="m2",H34="m3",H34="m",H34="hr",H34="each"),COUNT(I34:J34)=2,I34&gt;0,J34&gt;=0,OR(C34="CUSTOMER",AND(ISNUMBER(K34),K34&gt;=0,K34&lt;1))),"Valid","Complete package inputs"))))</ns0:f>
        <ns0:v>Valid</ns0:v>
      </ns0:c>
      <ns0:c r="Q34" s="103" t="n">
        <ns0:v>0</ns0:v>
      </ns0:c>
      <ns0:c r="R34" s="105"/>
    </ns0:row>
    <ns0:row r="35" ht="24" customHeight="1">
      <ns0:c r="A35" s="36"/>
      <ns0:c r="B35" s="36"/>
      <ns0:c r="C35" s="36"/>
      <ns0:c r="D35" s="36"/>
      <ns0:c r="E35" s="36"/>
      <ns0:c r="F35" s="36"/>
      <ns0:c r="G35" s="36"/>
      <ns0:c r="H35" s="36"/>
      <ns0:c r="I35" s="36"/>
      <ns0:c r="J35" s="36"/>
      <ns0:c r="K35" s="36"/>
      <ns0:c r="L35" s="36"/>
      <ns0:c r="M35" s="36"/>
      <ns0:c r="N35" s="36"/>
      <ns0:c r="O35" s="36"/>
      <ns0:c r="P35" s="36"/>
      <ns0:c r="Q35" s="36"/>
      <ns0:c r="R35" s="36"/>
    </ns0:row>
    <ns0:row r="36" ht="36" customHeight="1">
      <ns0:c r="A36" s="39" t="str">
        <ns0:v>Customer-contracted costs carry no SH margin or contingency. SITE_SPECIFIC packages never enter the combined benchmark.</ns0:v>
      </ns0:c>
      <ns0:c r="B36" s="39"/>
      <ns0:c r="C36" s="39"/>
      <ns0:c r="D36" s="39"/>
      <ns0:c r="E36" s="39"/>
      <ns0:c r="F36" s="39"/>
      <ns0:c r="G36" s="39"/>
      <ns0:c r="H36" s="39"/>
      <ns0:c r="I36" s="39"/>
      <ns0:c r="J36" s="39"/>
      <ns0:c r="K36" s="39"/>
      <ns0:c r="L36" s="39"/>
      <ns0:c r="M36" s="39"/>
      <ns0:c r="N36" s="39"/>
      <ns0:c r="O36" s="39"/>
      <ns0:c r="P36" s="39"/>
      <ns0:c r="Q36" s="36"/>
      <ns0:c r="R36" s="36"/>
    </ns0:row>
    <ns0:row r="37" ht="24" customHeight="1">
      <ns0:c r="A37" s="36"/>
      <ns0:c r="B37" s="36"/>
      <ns0:c r="C37" s="36"/>
      <ns0:c r="D37" s="36"/>
      <ns0:c r="E37" s="36"/>
      <ns0:c r="F37" s="36"/>
      <ns0:c r="G37" s="36"/>
      <ns0:c r="H37" s="36"/>
      <ns0:c r="I37" s="36"/>
      <ns0:c r="J37" s="36"/>
      <ns0:c r="K37" s="36"/>
      <ns0:c r="L37" s="36"/>
      <ns0:c r="M37" s="36"/>
      <ns0:c r="N37" s="36"/>
      <ns0:c r="O37" s="36"/>
      <ns0:c r="P37" s="36"/>
      <ns0:c r="Q37" s="36"/>
      <ns0:c r="R37" s="36"/>
    </ns0:row>
    <ns0:row r="38" ht="28" customHeight="1">
      <ns0:c r="A38" s="89" t="str">
        <ns0:v>Detailed quote and internal performance</ns0:v>
      </ns0:c>
      <ns0:c r="B38" s="89"/>
      <ns0:c r="C38" s="89"/>
      <ns0:c r="D38" s="89"/>
      <ns0:c r="E38" s="89"/>
      <ns0:c r="F38" s="89"/>
      <ns0:c r="G38" s="36"/>
      <ns0:c r="H38" s="36"/>
      <ns0:c r="I38" s="36"/>
      <ns0:c r="J38" s="36"/>
      <ns0:c r="K38" s="36"/>
      <ns0:c r="L38" s="36"/>
      <ns0:c r="M38" s="36"/>
      <ns0:c r="N38" s="36"/>
      <ns0:c r="O38" s="36"/>
      <ns0:c r="P38" s="36"/>
      <ns0:c r="Q38" s="36"/>
      <ns0:c r="R38" s="36"/>
    </ns0:row>
    <ns0:row r="39" ht="24" customHeight="1">
      <ns0:c r="A39" s="36"/>
      <ns0:c r="B39" s="36"/>
      <ns0:c r="C39" s="36"/>
      <ns0:c r="D39" s="36"/>
      <ns0:c r="E39" s="36"/>
      <ns0:c r="F39" s="36"/>
      <ns0:c r="G39" s="36"/>
      <ns0:c r="H39" s="36"/>
      <ns0:c r="I39" s="36"/>
      <ns0:c r="J39" s="36"/>
      <ns0:c r="K39" s="36"/>
      <ns0:c r="L39" s="36"/>
      <ns0:c r="M39" s="36"/>
      <ns0:c r="N39" s="36"/>
      <ns0:c r="O39" s="36"/>
      <ns0:c r="P39" s="36"/>
      <ns0:c r="Q39" s="36"/>
      <ns0:c r="R39" s="36"/>
    </ns0:row>
    <ns0:row r="40" ht="24" customHeight="1">
      <ns0:c r="A40" s="36" t="str">
        <ns0:v>Kit attributable cost</ns0:v>
      </ns0:c>
      <ns0:c r="B40" s="41" t="n">
        <ns0:f>'SH Pricing'!D32</ns0:f>
        <ns0:v>63927.38</ns0:v>
      </ns0:c>
      <ns0:c r="C40" s="36"/>
      <ns0:c r="D40" s="36"/>
      <ns0:c r="E40" s="36"/>
      <ns0:c r="F40" s="36"/>
      <ns0:c r="G40" s="36"/>
      <ns0:c r="H40" s="36"/>
      <ns0:c r="I40" s="36"/>
      <ns0:c r="J40" s="36"/>
      <ns0:c r="K40" s="36"/>
      <ns0:c r="L40" s="36"/>
      <ns0:c r="M40" s="36"/>
      <ns0:c r="N40" s="36"/>
      <ns0:c r="O40" s="36"/>
      <ns0:c r="P40" s="36"/>
      <ns0:c r="Q40" s="36"/>
      <ns0:c r="R40" s="36"/>
    </ns0:row>
    <ns0:row r="41" ht="24" customHeight="1">
      <ns0:c r="A41" s="36" t="str">
        <ns0:v>Kit selling price</ns0:v>
      </ns0:c>
      <ns0:c r="B41" s="41" t="n">
        <ns0:f>IF(AND(ISNUMBER(B14),B14&gt;=0,B14&lt;1,ISNUMBER(E8),E8&gt;=0),ROUND(B40/(1-B14)-E8,2),"")</ns0:f>
        <ns0:v>91324.83</ns0:v>
      </ns0:c>
      <ns0:c r="C41" s="36"/>
      <ns0:c r="D41" s="36"/>
      <ns0:c r="E41" s="36"/>
      <ns0:c r="F41" s="36"/>
      <ns0:c r="G41" s="36"/>
      <ns0:c r="H41" s="36"/>
      <ns0:c r="I41" s="36"/>
      <ns0:c r="J41" s="36"/>
      <ns0:c r="K41" s="36"/>
      <ns0:c r="L41" s="36"/>
      <ns0:c r="M41" s="36"/>
      <ns0:c r="N41" s="36"/>
      <ns0:c r="O41" s="36"/>
      <ns0:c r="P41" s="36"/>
      <ns0:c r="Q41" s="36"/>
      <ns0:c r="R41" s="36"/>
    </ns0:row>
    <ns0:row r="42" ht="24" customHeight="1">
      <ns0:c r="A42" s="36" t="str">
        <ns0:v>Kit gross profit</ns0:v>
      </ns0:c>
      <ns0:c r="B42" s="41" t="n">
        <ns0:f>IF(ISNUMBER(B41),ROUND(B41-B40,2),"")</ns0:f>
        <ns0:v>27397.45</ns0:v>
      </ns0:c>
      <ns0:c r="C42" s="36"/>
      <ns0:c r="D42" s="36"/>
      <ns0:c r="E42" s="36"/>
      <ns0:c r="F42" s="36"/>
      <ns0:c r="G42" s="36"/>
      <ns0:c r="H42" s="36"/>
      <ns0:c r="I42" s="36"/>
      <ns0:c r="J42" s="36"/>
      <ns0:c r="K42" s="36"/>
      <ns0:c r="L42" s="36"/>
      <ns0:c r="M42" s="36"/>
      <ns0:c r="N42" s="36"/>
      <ns0:c r="O42" s="36"/>
      <ns0:c r="P42" s="36"/>
      <ns0:c r="Q42" s="36"/>
      <ns0:c r="R42" s="36"/>
    </ns0:row>
    <ns0:row r="43" ht="24" customHeight="1">
      <ns0:c r="A43" s="36" t="str">
        <ns0:v>Construction SH direct costs</ns0:v>
      </ns0:c>
      <ns0:c r="B43" s="41" t="n">
        <ns0:f>ROUND(SUMIFS(L27:L34,C27:C34,"SH"),2)</ns0:f>
        <ns0:v>0</ns0:v>
      </ns0:c>
      <ns0:c r="C43" s="36"/>
      <ns0:c r="D43" s="36"/>
      <ns0:c r="E43" s="36"/>
      <ns0:c r="F43" s="36"/>
      <ns0:c r="G43" s="36"/>
      <ns0:c r="H43" s="36"/>
      <ns0:c r="I43" s="36"/>
      <ns0:c r="J43" s="36"/>
      <ns0:c r="K43" s="36"/>
      <ns0:c r="L43" s="36"/>
      <ns0:c r="M43" s="36"/>
      <ns0:c r="N43" s="36"/>
      <ns0:c r="O43" s="36"/>
      <ns0:c r="P43" s="36"/>
      <ns0:c r="Q43" s="36"/>
      <ns0:c r="R43" s="36"/>
    </ns0:row>
    <ns0:row r="44" ht="24" customHeight="1">
      <ns0:c r="A44" s="36" t="str">
        <ns0:v>Construction contingency reserve</ns0:v>
      </ns0:c>
      <ns0:c r="B44" s="41" t="n">
        <ns0:f>SUM(M27:M34)</ns0:f>
        <ns0:v>0</ns0:v>
      </ns0:c>
      <ns0:c r="C44" s="36"/>
      <ns0:c r="D44" s="36"/>
      <ns0:c r="E44" s="36"/>
      <ns0:c r="F44" s="36"/>
      <ns0:c r="G44" s="36"/>
      <ns0:c r="H44" s="36"/>
      <ns0:c r="I44" s="36"/>
      <ns0:c r="J44" s="36"/>
      <ns0:c r="K44" s="36"/>
      <ns0:c r="L44" s="36"/>
      <ns0:c r="M44" s="36"/>
      <ns0:c r="N44" s="36"/>
      <ns0:c r="O44" s="36"/>
      <ns0:c r="P44" s="36"/>
      <ns0:c r="Q44" s="36"/>
      <ns0:c r="R44" s="36"/>
    </ns0:row>
    <ns0:row r="45" ht="24" customHeight="1">
      <ns0:c r="A45" s="36" t="str">
        <ns0:v>Construction SH selling price</ns0:v>
      </ns0:c>
      <ns0:c r="B45" s="41" t="n">
        <ns0:f>SUM(N27:N34)</ns0:f>
        <ns0:v>0</ns0:v>
      </ns0:c>
      <ns0:c r="C45" s="36"/>
      <ns0:c r="D45" s="36"/>
      <ns0:c r="E45" s="36"/>
      <ns0:c r="F45" s="36"/>
      <ns0:c r="G45" s="36"/>
      <ns0:c r="H45" s="36"/>
      <ns0:c r="I45" s="36"/>
      <ns0:c r="J45" s="36"/>
      <ns0:c r="K45" s="36"/>
      <ns0:c r="L45" s="36"/>
      <ns0:c r="M45" s="36"/>
      <ns0:c r="N45" s="36"/>
      <ns0:c r="O45" s="36"/>
      <ns0:c r="P45" s="36"/>
      <ns0:c r="Q45" s="36"/>
      <ns0:c r="R45" s="36"/>
    </ns0:row>
    <ns0:row r="46" ht="24" customHeight="1">
      <ns0:c r="A46" s="36" t="str">
        <ns0:v>Construction nominal gross profit</ns0:v>
      </ns0:c>
      <ns0:c r="B46" s="41" t="n">
        <ns0:f>ROUND(B45-B43,2)</ns0:f>
        <ns0:v>0</ns0:v>
      </ns0:c>
      <ns0:c r="C46" s="36"/>
      <ns0:c r="D46" s="36"/>
      <ns0:c r="E46" s="36"/>
      <ns0:c r="F46" s="36"/>
      <ns0:c r="G46" s="36"/>
      <ns0:c r="H46" s="36"/>
      <ns0:c r="I46" s="36"/>
      <ns0:c r="J46" s="36"/>
      <ns0:c r="K46" s="36"/>
      <ns0:c r="L46" s="36"/>
      <ns0:c r="M46" s="36"/>
      <ns0:c r="N46" s="36"/>
      <ns0:c r="O46" s="36"/>
      <ns0:c r="P46" s="36"/>
      <ns0:c r="Q46" s="36"/>
      <ns0:c r="R46" s="36"/>
    </ns0:row>
    <ns0:row r="47" ht="24" customHeight="1">
      <ns0:c r="A47" s="36" t="str">
        <ns0:v>Construction profit after reserve</ns0:v>
      </ns0:c>
      <ns0:c r="B47" s="41" t="n">
        <ns0:f>ROUND(B46-B44,2)</ns0:f>
        <ns0:v>0</ns0:v>
      </ns0:c>
      <ns0:c r="C47" s="36"/>
      <ns0:c r="D47" s="36"/>
      <ns0:c r="E47" s="36"/>
      <ns0:c r="F47" s="36"/>
      <ns0:c r="G47" s="36"/>
      <ns0:c r="H47" s="36"/>
      <ns0:c r="I47" s="36"/>
      <ns0:c r="J47" s="36"/>
      <ns0:c r="K47" s="36"/>
      <ns0:c r="L47" s="36"/>
      <ns0:c r="M47" s="36"/>
      <ns0:c r="N47" s="36"/>
      <ns0:c r="O47" s="36"/>
      <ns0:c r="P47" s="36"/>
      <ns0:c r="Q47" s="36"/>
      <ns0:c r="R47" s="36"/>
    </ns0:row>
    <ns0:row r="48" ht="24" customHeight="1">
      <ns0:c r="A48" s="36" t="str">
        <ns0:v>Third-party budget excl. GST</ns0:v>
      </ns0:c>
      <ns0:c r="B48" s="41" t="n">
        <ns0:f>SUM(O27:O34)</ns0:f>
        <ns0:v>0</ns0:v>
      </ns0:c>
      <ns0:c r="C48" s="36"/>
      <ns0:c r="D48" s="36"/>
      <ns0:c r="E48" s="36"/>
      <ns0:c r="F48" s="36"/>
      <ns0:c r="G48" s="36"/>
      <ns0:c r="H48" s="36"/>
      <ns0:c r="I48" s="36"/>
      <ns0:c r="J48" s="36"/>
      <ns0:c r="K48" s="36"/>
      <ns0:c r="L48" s="36"/>
      <ns0:c r="M48" s="36"/>
      <ns0:c r="N48" s="36"/>
      <ns0:c r="O48" s="36"/>
      <ns0:c r="P48" s="36"/>
      <ns0:c r="Q48" s="36"/>
      <ns0:c r="R48" s="36"/>
    </ns0:row>
    <ns0:row r="49" ht="24" customHeight="1">
      <ns0:c r="A49" s="36" t="str">
        <ns0:v>Portal revenue / costs / contribution</ns0:v>
      </ns0:c>
      <ns0:c r="B49" s="41" t="n">
        <ns0:f>0</ns0:f>
        <ns0:v>0</ns0:v>
      </ns0:c>
      <ns0:c r="C49" s="36"/>
      <ns0:c r="D49" s="36"/>
      <ns0:c r="E49" s="36"/>
      <ns0:c r="F49" s="36"/>
      <ns0:c r="G49" s="36"/>
      <ns0:c r="H49" s="36"/>
      <ns0:c r="I49" s="36"/>
      <ns0:c r="J49" s="36"/>
      <ns0:c r="K49" s="36"/>
      <ns0:c r="L49" s="36"/>
      <ns0:c r="M49" s="36"/>
      <ns0:c r="N49" s="36"/>
      <ns0:c r="O49" s="36"/>
      <ns0:c r="P49" s="36"/>
      <ns0:c r="Q49" s="36"/>
      <ns0:c r="R49" s="36"/>
    </ns0:row>
    <ns0:row r="50" ht="24" customHeight="1">
      <ns0:c r="A50" s="36" t="str">
        <ns0:v>SH subtotal excl. GST</ns0:v>
      </ns0:c>
      <ns0:c r="B50" s="41" t="n">
        <ns0:f>IF(AND(ISNUMBER(B41),COUNTIFS(P27:P34,"&lt;&gt;Valid")=0),SUM(B41,B45),"")</ns0:f>
        <ns0:v>91324.83</ns0:v>
      </ns0:c>
      <ns0:c r="C50" s="36"/>
      <ns0:c r="D50" s="36"/>
      <ns0:c r="E50" s="36"/>
      <ns0:c r="F50" s="36"/>
      <ns0:c r="G50" s="36"/>
      <ns0:c r="H50" s="36"/>
      <ns0:c r="I50" s="36"/>
      <ns0:c r="J50" s="36"/>
      <ns0:c r="K50" s="36"/>
      <ns0:c r="L50" s="36"/>
      <ns0:c r="M50" s="36"/>
      <ns0:c r="N50" s="36"/>
      <ns0:c r="O50" s="36"/>
      <ns0:c r="P50" s="36"/>
      <ns0:c r="Q50" s="36"/>
      <ns0:c r="R50" s="36"/>
    </ns0:row>
    <ns0:row r="51" ht="24" customHeight="1">
      <ns0:c r="A51" s="36" t="str">
        <ns0:v>SH GST</ns0:v>
      </ns0:c>
      <ns0:c r="B51" s="41" t="n">
        <ns0:f>IF(ISNUMBER(B50),ROUND(B50*'SH Pricing'!E13,2),"")</ns0:f>
        <ns0:v>13698.72</ns0:v>
      </ns0:c>
      <ns0:c r="C51" s="36"/>
      <ns0:c r="D51" s="36"/>
      <ns0:c r="E51" s="36"/>
      <ns0:c r="F51" s="36"/>
      <ns0:c r="G51" s="36"/>
      <ns0:c r="H51" s="36"/>
      <ns0:c r="I51" s="36"/>
      <ns0:c r="J51" s="36"/>
      <ns0:c r="K51" s="36"/>
      <ns0:c r="L51" s="36"/>
      <ns0:c r="M51" s="36"/>
      <ns0:c r="N51" s="36"/>
      <ns0:c r="O51" s="36"/>
      <ns0:c r="P51" s="36"/>
      <ns0:c r="Q51" s="36"/>
      <ns0:c r="R51" s="36"/>
    </ns0:row>
    <ns0:row r="52" ht="24" customHeight="1">
      <ns0:c r="A52" s="36" t="str">
        <ns0:v>SH total incl. GST</ns0:v>
      </ns0:c>
      <ns0:c r="B52" s="41" t="n">
        <ns0:f>IF(ISNUMBER(B50),SUM(B50:B51),"")</ns0:f>
        <ns0:v>105023.55</ns0:v>
      </ns0:c>
      <ns0:c r="C52" s="36"/>
      <ns0:c r="D52" s="36"/>
      <ns0:c r="E52" s="36"/>
      <ns0:c r="F52" s="36"/>
      <ns0:c r="G52" s="36"/>
      <ns0:c r="H52" s="36"/>
      <ns0:c r="I52" s="36"/>
      <ns0:c r="J52" s="36"/>
      <ns0:c r="K52" s="36"/>
      <ns0:c r="L52" s="36"/>
      <ns0:c r="M52" s="36"/>
      <ns0:c r="N52" s="36"/>
      <ns0:c r="O52" s="36"/>
      <ns0:c r="P52" s="36"/>
      <ns0:c r="Q52" s="36"/>
      <ns0:c r="R52" s="36"/>
    </ns0:row>
    <ns0:row r="53" ht="24" customHeight="1">
      <ns0:c r="A53" s="36"/>
      <ns0:c r="B53" s="36"/>
      <ns0:c r="C53" s="36"/>
      <ns0:c r="D53" s="36"/>
      <ns0:c r="E53" s="36"/>
      <ns0:c r="F53" s="36"/>
      <ns0:c r="G53" s="36"/>
      <ns0:c r="H53" s="36"/>
      <ns0:c r="I53" s="36"/>
      <ns0:c r="J53" s="36"/>
      <ns0:c r="K53" s="36"/>
      <ns0:c r="L53" s="36"/>
      <ns0:c r="M53" s="36"/>
      <ns0:c r="N53" s="36"/>
      <ns0:c r="O53" s="36"/>
      <ns0:c r="P53" s="36"/>
      <ns0:c r="Q53" s="36"/>
      <ns0:c r="R53" s="36"/>
    </ns0:row>
    <ns0:row r="54" ht="24" customHeight="1">
      <ns0:c r="A54" s="36"/>
      <ns0:c r="B54" s="36"/>
      <ns0:c r="C54" s="36"/>
      <ns0:c r="D54" s="36"/>
      <ns0:c r="E54" s="36"/>
      <ns0:c r="F54" s="36"/>
      <ns0:c r="G54" s="36"/>
      <ns0:c r="H54" s="36"/>
      <ns0:c r="I54" s="36"/>
      <ns0:c r="J54" s="36"/>
      <ns0:c r="K54" s="36"/>
      <ns0:c r="L54" s="36"/>
      <ns0:c r="M54" s="36"/>
      <ns0:c r="N54" s="36"/>
      <ns0:c r="O54" s="36"/>
      <ns0:c r="P54" s="36"/>
      <ns0:c r="Q54" s="36"/>
      <ns0:c r="R54" s="36"/>
    </ns0:row>
    <ns0:row r="55" ht="24" customHeight="1">
      <ns0:c r="A55" s="36" t="str">
        <ns0:v>Residential area target</ns0:v>
      </ns0:c>
      <ns0:c r="B55" s="41" t="n">
        <ns0:f>ROUND(B8*B12,2)</ns0:f>
        <ns0:v>0</ns0:v>
      </ns0:c>
      <ns0:c r="C55" s="36"/>
      <ns0:c r="D55" s="36"/>
      <ns0:c r="E55" s="36"/>
      <ns0:c r="F55" s="36"/>
      <ns0:c r="G55" s="36"/>
      <ns0:c r="H55" s="36"/>
      <ns0:c r="I55" s="36"/>
      <ns0:c r="J55" s="36"/>
      <ns0:c r="K55" s="36"/>
      <ns0:c r="L55" s="36"/>
      <ns0:c r="M55" s="36"/>
      <ns0:c r="N55" s="36"/>
      <ns0:c r="O55" s="36"/>
      <ns0:c r="P55" s="36"/>
      <ns0:c r="Q55" s="36"/>
      <ns0:c r="R55" s="36"/>
    </ns0:row>
    <ns0:row r="56" ht="24" customHeight="1">
      <ns0:c r="A56" s="36" t="str">
        <ns0:v>Garage/shed area target</ns0:v>
      </ns0:c>
      <ns0:c r="B56" s="41" t="n">
        <ns0:f>ROUND(B9*B13,2)</ns0:f>
        <ns0:v>0</ns0:v>
      </ns0:c>
      <ns0:c r="C56" s="36"/>
      <ns0:c r="D56" s="36"/>
      <ns0:c r="E56" s="36"/>
      <ns0:c r="F56" s="36"/>
      <ns0:c r="G56" s="36"/>
      <ns0:c r="H56" s="36"/>
      <ns0:c r="I56" s="36"/>
      <ns0:c r="J56" s="36"/>
      <ns0:c r="K56" s="36"/>
      <ns0:c r="L56" s="36"/>
      <ns0:c r="M56" s="36"/>
      <ns0:c r="N56" s="36"/>
      <ns0:c r="O56" s="36"/>
      <ns0:c r="P56" s="36"/>
      <ns0:c r="Q56" s="36"/>
      <ns0:c r="R56" s="36"/>
    </ns0:row>
    <ns0:row r="57" ht="24" customHeight="1">
      <ns0:c r="A57" s="36" t="str">
        <ns0:v>Combined area target</ns0:v>
      </ns0:c>
      <ns0:c r="B57" s="41" t="str">
        <ns0:f>IF(AND(COUNT(B4,B8,B9)=3,B8&gt;=0,B9&gt;=0,B8+B9&gt;0,ABS(B4-B8-B9)&lt;0.000001,B12&gt;0,B13&gt;0),ROUND(B8*B12+B9*B13,2),"")</ns0:f>
      </ns0:c>
      <ns0:c r="C57" s="36"/>
      <ns0:c r="D57" s="36"/>
      <ns0:c r="E57" s="36"/>
      <ns0:c r="F57" s="36"/>
      <ns0:c r="G57" s="36"/>
      <ns0:c r="H57" s="36"/>
      <ns0:c r="I57" s="36"/>
      <ns0:c r="J57" s="36"/>
      <ns0:c r="K57" s="36"/>
      <ns0:c r="L57" s="36"/>
      <ns0:c r="M57" s="36"/>
      <ns0:c r="N57" s="36"/>
      <ns0:c r="O57" s="36"/>
      <ns0:c r="P57" s="36"/>
      <ns0:c r="Q57" s="36"/>
      <ns0:c r="R57" s="36"/>
    </ns0:row>
    <ns0:row r="58" ht="24" customHeight="1">
      <ns0:c r="A58" s="36" t="str">
        <ns0:v>Total enclosed area</ns0:v>
      </ns0:c>
      <ns0:c r="B58" s="92" t="n">
        <ns0:f>SUM(B8:B9)</ns0:f>
        <ns0:v>0</ns0:v>
      </ns0:c>
      <ns0:c r="C58" s="36"/>
      <ns0:c r="D58" s="36"/>
      <ns0:c r="E58" s="36"/>
      <ns0:c r="F58" s="36"/>
      <ns0:c r="G58" s="36"/>
      <ns0:c r="H58" s="36"/>
      <ns0:c r="I58" s="36"/>
      <ns0:c r="J58" s="36"/>
      <ns0:c r="K58" s="36"/>
      <ns0:c r="L58" s="36"/>
      <ns0:c r="M58" s="36"/>
      <ns0:c r="N58" s="36"/>
      <ns0:c r="O58" s="36"/>
      <ns0:c r="P58" s="36"/>
      <ns0:c r="Q58" s="36"/>
      <ns0:c r="R58" s="36"/>
    </ns0:row>
    <ns0:row r="59" ht="24" customHeight="1">
      <ns0:c r="A59" s="36" t="str">
        <ns0:v>Weighted target / m²</ns0:v>
      </ns0:c>
      <ns0:c r="B59" s="41" t="str">
        <ns0:f>IF(AND(B58&gt;0,ISNUMBER(B57)),B57/B58,"")</ns0:f>
      </ns0:c>
      <ns0:c r="C59" s="36"/>
      <ns0:c r="D59" s="36"/>
      <ns0:c r="E59" s="36"/>
      <ns0:c r="F59" s="36"/>
      <ns0:c r="G59" s="36"/>
      <ns0:c r="H59" s="36"/>
      <ns0:c r="I59" s="36"/>
      <ns0:c r="J59" s="36"/>
      <ns0:c r="K59" s="36"/>
      <ns0:c r="L59" s="36"/>
      <ns0:c r="M59" s="36"/>
      <ns0:c r="N59" s="36"/>
      <ns0:c r="O59" s="36"/>
      <ns0:c r="P59" s="36"/>
      <ns0:c r="Q59" s="36"/>
      <ns0:c r="R59" s="36"/>
    </ns0:row>
    <ns0:row r="60" ht="24" customHeight="1">
      <ns0:c r="A60" s="36" t="str">
        <ns0:v>Comparable standard-scope selling price</ns0:v>
      </ns0:c>
      <ns0:c r="B60" s="41" t="n">
        <ns0:f>IF(ISNUMBER(B64),ROUND(B64+SUMIFS(N27:N34,E27:E34,"Yes",D27:D34,"&lt;&gt;SITE_SPECIFIC")+SUMIFS(O27:O34,E27:E34,"Yes",D27:D34,"&lt;&gt;SITE_SPECIFIC"),2),"")</ns0:f>
        <ns0:v>91324.83</ns0:v>
      </ns0:c>
      <ns0:c r="C60" s="36"/>
      <ns0:c r="D60" s="36"/>
      <ns0:c r="E60" s="36"/>
      <ns0:c r="F60" s="36"/>
      <ns0:c r="G60" s="36"/>
      <ns0:c r="H60" s="36"/>
      <ns0:c r="I60" s="36"/>
      <ns0:c r="J60" s="36"/>
      <ns0:c r="K60" s="36"/>
      <ns0:c r="L60" s="36"/>
      <ns0:c r="M60" s="36"/>
      <ns0:c r="N60" s="36"/>
      <ns0:c r="O60" s="36"/>
      <ns0:c r="P60" s="36"/>
      <ns0:c r="Q60" s="36"/>
      <ns0:c r="R60" s="36"/>
    </ns0:row>
    <ns0:row r="61" ht="24" customHeight="1">
      <ns0:c r="A61" s="36" t="str">
        <ns0:v>Actual combined rate / m²</ns0:v>
      </ns0:c>
      <ns0:c r="B61" s="41" t="str">
        <ns0:f>IF(AND(B5&lt;&gt;"SUPPLY_ONLY",OR(B5="CUSTOMER_MANAGED",B5="SH_MANAGED"),B18="Yes",COUNT(B4,B8,B9)=3,B8&gt;=0,B9&gt;=0,B58&gt;0,ABS(B4-B58)&lt;0.000001,COUNTIFS(P27:P34,"&lt;&gt;Valid")=0,ISNUMBER(B60),B41&gt;=0,B14&gt;=0,B14&lt;1,B15&gt;=0,B15&lt;1,B16&gt;=0,B16&lt;1,B12&gt;0,B13&gt;0),ROUND(B60,2)/B58,"")</ns0:f>
      </ns0:c>
      <ns0:c r="C61" s="36"/>
      <ns0:c r="D61" s="36"/>
      <ns0:c r="E61" s="36"/>
      <ns0:c r="F61" s="36"/>
      <ns0:c r="G61" s="36"/>
      <ns0:c r="H61" s="36"/>
      <ns0:c r="I61" s="36"/>
      <ns0:c r="J61" s="36"/>
      <ns0:c r="K61" s="36"/>
      <ns0:c r="L61" s="36"/>
      <ns0:c r="M61" s="36"/>
      <ns0:c r="N61" s="36"/>
      <ns0:c r="O61" s="36"/>
      <ns0:c r="P61" s="36"/>
      <ns0:c r="Q61" s="36"/>
      <ns0:c r="R61" s="36"/>
    </ns0:row>
    <ns0:row r="62" ht="24" customHeight="1">
      <ns0:c r="A62" s="36" t="str">
        <ns0:v>Combined rate classification</ns0:v>
      </ns0:c>
      <ns0:c r="B62" s="91" t="str">
        <ns0:f>IF(NOT(ISNUMBER(B61)),"Not comparable",IF(B61&lt;1950,"Pricing review",IF(B61&lt;=2250,"Green",IF(B61&lt;=2500,"Black","Red"))))</ns0:f>
        <ns0:v>Not comparable</ns0:v>
      </ns0:c>
      <ns0:c r="C62" s="36"/>
      <ns0:c r="D62" s="36"/>
      <ns0:c r="E62" s="36"/>
      <ns0:c r="F62" s="36"/>
      <ns0:c r="G62" s="36"/>
      <ns0:c r="H62" s="36"/>
      <ns0:c r="I62" s="36"/>
      <ns0:c r="J62" s="36"/>
      <ns0:c r="K62" s="36"/>
      <ns0:c r="L62" s="36"/>
      <ns0:c r="M62" s="36"/>
      <ns0:c r="N62" s="36"/>
      <ns0:c r="O62" s="36"/>
      <ns0:c r="P62" s="36"/>
      <ns0:c r="Q62" s="36"/>
      <ns0:c r="R62" s="36"/>
    </ns0:row>
    <ns0:row r="63" ht="24" customHeight="1">
      <ns0:c r="A63" s="36" t="str">
        <ns0:v>Standard price variance to target</ns0:v>
      </ns0:c>
      <ns0:c r="B63" s="41" t="str">
        <ns0:f>IF(ISNUMBER(B61),B60-B57,"")</ns0:f>
      </ns0:c>
      <ns0:c r="C63" s="36"/>
      <ns0:c r="D63" s="36"/>
      <ns0:c r="E63" s="36"/>
      <ns0:c r="F63" s="36"/>
      <ns0:c r="G63" s="36"/>
      <ns0:c r="H63" s="36"/>
      <ns0:c r="I63" s="36"/>
      <ns0:c r="J63" s="36"/>
      <ns0:c r="K63" s="36"/>
      <ns0:c r="L63" s="36"/>
      <ns0:c r="M63" s="36"/>
      <ns0:c r="N63" s="36"/>
      <ns0:c r="O63" s="36"/>
      <ns0:c r="P63" s="36"/>
      <ns0:c r="Q63" s="36"/>
      <ns0:c r="R63" s="36"/>
    </ns0:row>
    <ns0:row r="64" ht="24" customHeight="1">
      <ns0:c r="A64" s="36" t="str">
        <ns0:v>Comparable kit selling allocation</ns0:v>
      </ns0:c>
      <ns0:c r="B64" s="41" t="n">
        <ns0:f>IF(AND(ISNUMBER(B41),B40&gt;0),ROUND(B41*SUMIFS('SH Pricing'!D24:D30,'SH Pricing'!F24:F30,"Yes")/B40,2),"")</ns0:f>
        <ns0:v>91324.83</ns0:v>
      </ns0:c>
      <ns0:c r="C64" s="36"/>
      <ns0:c r="D64" s="36"/>
      <ns0:c r="E64" s="36"/>
      <ns0:c r="F64" s="36"/>
      <ns0:c r="G64" s="36"/>
      <ns0:c r="H64" s="36"/>
      <ns0:c r="I64" s="36"/>
      <ns0:c r="J64" s="36"/>
      <ns0:c r="K64" s="36"/>
      <ns0:c r="L64" s="36"/>
      <ns0:c r="M64" s="36"/>
      <ns0:c r="N64" s="36"/>
      <ns0:c r="O64" s="36"/>
      <ns0:c r="P64" s="36"/>
      <ns0:c r="Q64" s="36"/>
      <ns0:c r="R64" s="36"/>
    </ns0:row>
    <ns0:row r="65" ht="24" customHeight="1">
      <ns0:c r="A65" s="36" t="str">
        <ns0:v>Maximum valid until</ns0:v>
      </ns0:c>
      <ns0:c r="B65" s="38" t="n">
        <ns0:f>IF(NOT(ISNUMBER('SH Pricing'!B10)),"",MIN('SH Pricing'!B10+30,IF(B22="",'SH Pricing'!B10+30,B22),IF(AND(B27="Yes",ISNUMBER(R27)),R27,'SH Pricing'!B10+30),IF(AND(B28="Yes",ISNUMBER(R28)),R28,'SH Pricing'!B10+30),IF(AND(B29="Yes",ISNUMBER(R29)),R29,'SH Pricing'!B10+30),IF(AND(B30="Yes",ISNUMBER(R30)),R30,'SH Pricing'!B10+30),IF(AND(B31="Yes",ISNUMBER(R31)),R31,'SH Pricing'!B10+30),IF(AND(B32="Yes",ISNUMBER(R32)),R32,'SH Pricing'!B10+30),IF(AND(B33="Yes",ISNUMBER(R33)),R33,'SH Pricing'!B10+30),IF(AND(B34="Yes",ISNUMBER(R34)),R34,'SH Pricing'!B10+30)))</ns0:f>
        <ns0:v>46340</ns0:v>
      </ns0:c>
      <ns0:c r="C65" s="36"/>
      <ns0:c r="D65" s="36"/>
      <ns0:c r="E65" s="36"/>
      <ns0:c r="F65" s="36"/>
      <ns0:c r="G65" s="36"/>
      <ns0:c r="H65" s="36"/>
      <ns0:c r="I65" s="36"/>
      <ns0:c r="J65" s="36"/>
      <ns0:c r="K65" s="36"/>
      <ns0:c r="L65" s="36"/>
      <ns0:c r="M65" s="36"/>
      <ns0:c r="N65" s="36"/>
      <ns0:c r="O65" s="36"/>
      <ns0:c r="P65" s="36"/>
      <ns0:c r="Q65" s="36"/>
      <ns0:c r="R65" s="36"/>
    </ns0:row>
    <ns0:row r="66" ht="24" customHeight="1">
      <ns0:c r="A66" s="36" t="str">
        <ns0:v>Effective valid until</ns0:v>
      </ns0:c>
      <ns0:c r="B66" s="38" t="n">
        <ns0:f>IF('SH Pricing'!B11="",B65,'SH Pricing'!B11)</ns0:f>
        <ns0:v>46340</ns0:v>
      </ns0:c>
      <ns0:c r="C66" s="36"/>
      <ns0:c r="D66" s="36"/>
      <ns0:c r="E66" s="36"/>
      <ns0:c r="F66" s="36"/>
      <ns0:c r="G66" s="36"/>
      <ns0:c r="H66" s="36"/>
      <ns0:c r="I66" s="36"/>
      <ns0:c r="J66" s="36"/>
      <ns0:c r="K66" s="36"/>
      <ns0:c r="L66" s="36"/>
      <ns0:c r="M66" s="36"/>
      <ns0:c r="N66" s="36"/>
      <ns0:c r="O66" s="36"/>
      <ns0:c r="P66" s="36"/>
      <ns0:c r="Q66" s="36"/>
      <ns0:c r="R66" s="36"/>
    </ns0:row>
    <ns0:row r="67" ht="24" customHeight="1">
      <ns0:c r="A67" s="36" t="str">
        <ns0:v>Overrides present</ns0:v>
      </ns0:c>
      <ns0:c r="B67" s="91" t="str">
        <ns0:f>IF(OR(B12&lt;&gt;2700,B13&lt;&gt;1200,B14&lt;&gt;0.3,B15&lt;&gt;0.1,B16&lt;&gt;0.05,'SH Pricing'!E13&lt;&gt;0.15,E8&gt;0,COUNTIFS(K27:K34,"&lt;&gt;0.1",B27:B34,"Yes",C27:C34,"SH")&gt;0,SUMIFS(Q27:Q34,B27:B34,"Yes",C27:C34,"SH")&gt;0),"Yes","No")</ns0:f>
        <ns0:v>No</ns0:v>
      </ns0:c>
      <ns0:c r="C67" s="36"/>
      <ns0:c r="D67" s="36"/>
      <ns0:c r="E67" s="36"/>
      <ns0:c r="F67" s="36"/>
      <ns0:c r="G67" s="36"/>
      <ns0:c r="H67" s="36"/>
      <ns0:c r="I67" s="36"/>
      <ns0:c r="J67" s="36"/>
      <ns0:c r="K67" s="36"/>
      <ns0:c r="L67" s="36"/>
      <ns0:c r="M67" s="36"/>
      <ns0:c r="N67" s="36"/>
      <ns0:c r="O67" s="36"/>
      <ns0:c r="P67" s="36"/>
      <ns0:c r="Q67" s="36"/>
      <ns0:c r="R67" s="36"/>
    </ns0:row>
    <ns0:row r="68" ht="24" customHeight="1">
      <ns0:c r="A68" s="36"/>
      <ns0:c r="B68" s="36"/>
      <ns0:c r="C68" s="36"/>
      <ns0:c r="D68" s="36"/>
      <ns0:c r="E68" s="36"/>
      <ns0:c r="F68" s="36"/>
      <ns0:c r="G68" s="36"/>
      <ns0:c r="H68" s="36"/>
      <ns0:c r="I68" s="36"/>
      <ns0:c r="J68" s="36"/>
      <ns0:c r="K68" s="36"/>
      <ns0:c r="L68" s="36"/>
      <ns0:c r="M68" s="36"/>
      <ns0:c r="N68" s="36"/>
      <ns0:c r="O68" s="36"/>
      <ns0:c r="P68" s="36"/>
      <ns0:c r="Q68" s="36"/>
      <ns0:c r="R68" s="36"/>
    </ns0:row>
    <ns0:row r="69" ht="24" customHeight="1">
      <ns0:c r="A69" s="36"/>
      <ns0:c r="B69" s="36"/>
      <ns0:c r="C69" s="36"/>
      <ns0:c r="D69" s="36"/>
      <ns0:c r="E69" s="36"/>
      <ns0:c r="F69" s="36"/>
      <ns0:c r="G69" s="36"/>
      <ns0:c r="H69" s="36"/>
      <ns0:c r="I69" s="36"/>
      <ns0:c r="J69" s="36"/>
      <ns0:c r="K69" s="36"/>
      <ns0:c r="L69" s="36"/>
      <ns0:c r="M69" s="36"/>
      <ns0:c r="N69" s="36"/>
      <ns0:c r="O69" s="36"/>
      <ns0:c r="P69" s="36"/>
      <ns0:c r="Q69" s="36"/>
      <ns0:c r="R69" s="36"/>
    </ns0:row>
    <ns0:row r="70" ht="24" customHeight="1">
      <ns0:c r="A70" s="36"/>
      <ns0:c r="B70" s="36"/>
      <ns0:c r="C70" s="36"/>
      <ns0:c r="D70" s="36"/>
      <ns0:c r="E70" s="36"/>
      <ns0:c r="F70" s="36"/>
      <ns0:c r="G70" s="36"/>
      <ns0:c r="H70" s="36"/>
      <ns0:c r="I70" s="36"/>
      <ns0:c r="J70" s="36"/>
      <ns0:c r="K70" s="36"/>
      <ns0:c r="L70" s="36"/>
      <ns0:c r="M70" s="36"/>
      <ns0:c r="N70" s="36"/>
      <ns0:c r="O70" s="36"/>
      <ns0:c r="P70" s="36"/>
      <ns0:c r="Q70" s="36"/>
      <ns0:c r="R70" s="36"/>
    </ns0:row>
    <ns0:row r="71" ht="24" customHeight="1">
      <ns0:c r="A71" s="36"/>
      <ns0:c r="B71" s="36"/>
      <ns0:c r="C71" s="36"/>
      <ns0:c r="D71" s="36"/>
      <ns0:c r="E71" s="36"/>
      <ns0:c r="F71" s="36"/>
      <ns0:c r="G71" s="36"/>
      <ns0:c r="H71" s="36"/>
      <ns0:c r="I71" s="36"/>
      <ns0:c r="J71" s="36"/>
      <ns0:c r="K71" s="36"/>
      <ns0:c r="L71" s="36"/>
      <ns0:c r="M71" s="36"/>
      <ns0:c r="N71" s="36"/>
      <ns0:c r="O71" s="36"/>
      <ns0:c r="P71" s="36"/>
      <ns0:c r="Q71" s="36"/>
      <ns0:c r="R71" s="36"/>
    </ns0:row>
    <ns0:row r="72" ht="42" customHeight="1">
      <ns0:c r="A72" s="36" t="str">
        <ns0:v>Issue status</ns0:v>
      </ns0:c>
      <ns0:c r="B72" s="91" t="str">
        <ns0:f>IF('SH Pricing'!B34&lt;&gt;"Valid",'SH Pricing'!B34,IF(OR(COUNT(B4,B8,B9)&lt;&gt;3,B58&lt;=0,ABS(B4-B58)&gt;=0.000001),"Reconcile enclosed floor areas",IF(OR(NOT(ISNUMBER('SH Pricing'!B10)),NOT(ISNUMBER(B66)),NOT(ISNUMBER(B24)),NOT(ISNUMBER(B20)),AND(B22&lt;&gt;"",NOT(ISNUMBER(B22))),LEN(TRIM('SH Pricing'!B20))=0,NOT(ISNUMBER(B41)),B41&lt;0),"Complete dates, supplier reference and discount",IF(B5&lt;&gt;"SUPPLY_ONLY","Choose valid arrangement",IF(OR(B8&lt;0,B9&lt;0,COUNT(B8:B9)&lt;&gt;2,NOT(ISNUMBER(B14)),B14&lt;0,B14&gt;=1,NOT(ISNUMBER(B15)),B15&lt;0,B15&gt;=1,NOT(ISNUMBER(B16)),B16&lt;0,B16&gt;=1,B12&lt;=0,B13&lt;=0),"Check pricing inputs",IF(COUNTIFS(P27:P34,"&lt;&gt;Valid")&gt;0,"Complete package inputs",IF(OR(LEN(TRIM('SH Pricing'!B7))=0,LEN(TRIM('SH Pricing'!B8))=0,LEN(TRIM('SH Pricing'!B9))=0,'SH Pricing'!B10="",LEN(TRIM('SH Pricing'!B14))=0,LEN(TRIM('SH Pricing'!B16))=0,LEN(TRIM('SH Pricing'!B17))=0,LEN(TRIM('SH Pricing'!B18))=0,LEN(TRIM('SH Pricing'!B19))=0),"Complete customer, scope and supplier details",IF(OR('SH Pricing'!B12&lt;&gt;"Yes",'SH Pricing'!B13&lt;&gt;"Yes",B17&lt;&gt;"Yes",AND(B5&lt;&gt;"SUPPLY_ONLY",B18&lt;&gt;"Yes")),"Confirm costs, validated rates and scope",IF(OR(B66&lt;B24,B66&gt; B65,B66&lt;'SH Pricing'!B10),"Reconfirm dates and current costs",IF(AND(B67="Yes",LEN(TRIM(B21))=0),"Explain pricing overrides",IF(OR(LOWER(TRIM(B19))&lt;&gt;"michel@shedhouse.co.nz",B20="",B20&lt;'SH Pricing'!B10,B20&gt;B24),"Pricing approver and approval date required","Ready to issue")))))))))))</ns0:f>
        <ns0:v>Reconcile enclosed floor areas</ns0:v>
      </ns0:c>
      <ns0:c r="C72" s="36"/>
      <ns0:c r="D72" s="36"/>
      <ns0:c r="E72" s="36"/>
      <ns0:c r="F72" s="36"/>
      <ns0:c r="G72" s="36"/>
      <ns0:c r="H72" s="36"/>
      <ns0:c r="I72" s="36"/>
      <ns0:c r="J72" s="36"/>
      <ns0:c r="K72" s="36"/>
      <ns0:c r="L72" s="36"/>
      <ns0:c r="M72" s="36"/>
      <ns0:c r="N72" s="36"/>
      <ns0:c r="O72" s="36"/>
      <ns0:c r="P72" s="36"/>
      <ns0:c r="Q72" s="36"/>
      <ns0:c r="R72" s="36"/>
    </ns0:row>
    <ns0:row r="73" ht="24" customHeight="1">
      <ns0:c r="A73" s="36"/>
      <ns0:c r="B73" s="36"/>
      <ns0:c r="C73" s="36"/>
      <ns0:c r="D73" s="36"/>
      <ns0:c r="E73" s="36"/>
      <ns0:c r="F73" s="36"/>
      <ns0:c r="G73" s="36"/>
      <ns0:c r="H73" s="36"/>
      <ns0:c r="I73" s="36"/>
      <ns0:c r="J73" s="36"/>
      <ns0:c r="K73" s="36"/>
      <ns0:c r="L73" s="36"/>
      <ns0:c r="M73" s="36"/>
      <ns0:c r="N73" s="36"/>
      <ns0:c r="O73" s="36"/>
      <ns0:c r="P73" s="36"/>
      <ns0:c r="Q73" s="36"/>
      <ns0:c r="R73" s="36"/>
    </ns0:row>
    <ns0:row r="74" ht="36" customHeight="1">
      <ns0:c r="A74" s="39" t="str">
        <ns0:v>Issue only after current quotations, complete inclusions/exclusions and independent SH approval. Workbook approval fields are a manual control, not authenticated access.</ns0:v>
      </ns0:c>
      <ns0:c r="B74" s="39"/>
      <ns0:c r="C74" s="39"/>
      <ns0:c r="D74" s="39"/>
      <ns0:c r="E74" s="39"/>
      <ns0:c r="F74" s="39"/>
      <ns0:c r="G74" s="39"/>
      <ns0:c r="H74" s="39"/>
      <ns0:c r="I74" s="36"/>
      <ns0:c r="J74" s="36"/>
      <ns0:c r="K74" s="36"/>
      <ns0:c r="L74" s="36"/>
      <ns0:c r="M74" s="36"/>
      <ns0:c r="N74" s="36"/>
      <ns0:c r="O74" s="36"/>
      <ns0:c r="P74" s="36"/>
      <ns0:c r="Q74" s="36"/>
      <ns0:c r="R74" s="36"/>
    </ns0:row>
    <ns0:row r="75" ht="36" customHeight="1">
      <ns0:c r="A75" s="39" t="str">
        <ns0:v>Historical supplier costs remain available on SH Pricing. Clear stale overrides and confirmations when changing the base.</ns0:v>
      </ns0:c>
      <ns0:c r="B75" s="39"/>
      <ns0:c r="C75" s="39"/>
      <ns0:c r="D75" s="39"/>
      <ns0:c r="E75" s="39"/>
      <ns0:c r="F75" s="39"/>
      <ns0:c r="G75" s="39"/>
      <ns0:c r="H75" s="39"/>
      <ns0:c r="I75" s="36"/>
      <ns0:c r="J75" s="36"/>
      <ns0:c r="K75" s="36"/>
      <ns0:c r="L75" s="36"/>
      <ns0:c r="M75" s="36"/>
      <ns0:c r="N75" s="36"/>
      <ns0:c r="O75" s="36"/>
      <ns0:c r="P75" s="36"/>
      <ns0:c r="Q75" s="36"/>
      <ns0:c r="R75" s="36"/>
    </ns0:row>
    <ns0:row r="76" ht="36" customHeight="1">
      <ns0:c r="A76" s="39" t="str">
        <ns0:v>Quote validity: 30 calendar days or earlier supplier/trade expiry. Review default rates quarterly and after significant cost changes.</ns0:v>
      </ns0:c>
      <ns0:c r="B76" s="39"/>
      <ns0:c r="C76" s="39"/>
      <ns0:c r="D76" s="39"/>
      <ns0:c r="E76" s="39"/>
      <ns0:c r="F76" s="39"/>
      <ns0:c r="G76" s="39"/>
      <ns0:c r="H76" s="39"/>
      <ns0:c r="I76" s="36"/>
      <ns0:c r="J76" s="36"/>
      <ns0:c r="K76" s="36"/>
      <ns0:c r="L76" s="36"/>
      <ns0:c r="M76" s="36"/>
      <ns0:c r="N76" s="36"/>
      <ns0:c r="O76" s="36"/>
      <ns0:c r="P76" s="36"/>
      <ns0:c r="Q76" s="36"/>
      <ns0:c r="R76" s="36"/>
    </ns0:row>
    <ns0:row r="77" ht="36" customHeight="1">
      <ns0:c r="A77" s="39" t="str">
        <ns0:v>Issued quotes must be saved as a new revision/snapshot before rates change. Customers receive Customer Quote PDF only.</ns0:v>
      </ns0:c>
      <ns0:c r="B77" s="39"/>
      <ns0:c r="C77" s="39"/>
      <ns0:c r="D77" s="39"/>
      <ns0:c r="E77" s="39"/>
      <ns0:c r="F77" s="39"/>
      <ns0:c r="G77" s="39"/>
      <ns0:c r="H77" s="39"/>
      <ns0:c r="I77" s="36"/>
      <ns0:c r="J77" s="36"/>
      <ns0:c r="K77" s="36"/>
      <ns0:c r="L77" s="36"/>
      <ns0:c r="M77" s="36"/>
      <ns0:c r="N77" s="36"/>
      <ns0:c r="O77" s="36"/>
      <ns0:c r="P77" s="36"/>
      <ns0:c r="Q77" s="36"/>
      <ns0:c r="R77" s="36"/>
    </ns0:row>
    <ns0:row r="78" ht="36" customHeight="1">
      <ns0:c r="A78" s="39" t="str">
        <ns0:v>Combined band: below $1,950 review; $1,950–2,250 green; above $2,250–2,500 black; above $2,500 red. Excluding GST.</ns0:v>
      </ns0:c>
      <ns0:c r="B78" s="39"/>
      <ns0:c r="C78" s="39"/>
      <ns0:c r="D78" s="39"/>
      <ns0:c r="E78" s="39"/>
      <ns0:c r="F78" s="39"/>
      <ns0:c r="G78" s="39"/>
      <ns0:c r="H78" s="39"/>
      <ns0:c r="I78" s="36"/>
      <ns0:c r="J78" s="36"/>
      <ns0:c r="K78" s="36"/>
      <ns0:c r="L78" s="36"/>
      <ns0:c r="M78" s="36"/>
      <ns0:c r="N78" s="36"/>
      <ns0:c r="O78" s="36"/>
      <ns0:c r="P78" s="36"/>
      <ns0:c r="Q78" s="36"/>
      <ns0:c r="R78" s="36"/>
    </ns0:row>
    <ns0:row r="79" ht="36" customHeight="1">
      <ns0:c r="A79" s="39" t="str">
        <ns0:v>Standard residential: kit, slab, erection, joinery, framing, insulation, linings, electrical, plumbing, kitchen/bathroom/laundry, paint, floors, management.</ns0:v>
      </ns0:c>
      <ns0:c r="B79" s="39"/>
      <ns0:c r="C79" s="39"/>
      <ns0:c r="D79" s="39"/>
      <ns0:c r="E79" s="39"/>
      <ns0:c r="F79" s="39"/>
      <ns0:c r="G79" s="39"/>
      <ns0:c r="H79" s="39"/>
      <ns0:c r="I79" s="36"/>
      <ns0:c r="J79" s="36"/>
      <ns0:c r="K79" s="36"/>
      <ns0:c r="L79" s="36"/>
      <ns0:c r="M79" s="36"/>
      <ns0:c r="N79" s="36"/>
      <ns0:c r="O79" s="36"/>
      <ns0:c r="P79" s="36"/>
      <ns0:c r="Q79" s="36"/>
      <ns0:c r="R79" s="36"/>
    </ns0:row>
    <ns0:row r="80" ht="36" customHeight="1">
      <ns0:c r="A80" s="39" t="str">
        <ns0:v>Standard garage: basic unlined single storey, kit, slab, erection, rainwater goods, door allowances, normal delivery, management.</ns0:v>
      </ns0:c>
      <ns0:c r="B80" s="39"/>
      <ns0:c r="C80" s="39"/>
      <ns0:c r="D80" s="39"/>
      <ns0:c r="E80" s="39"/>
      <ns0:c r="F80" s="39"/>
      <ns0:c r="G80" s="39"/>
      <ns0:c r="H80" s="39"/>
      <ns0:c r="I80" s="36"/>
      <ns0:c r="J80" s="36"/>
      <ns0:c r="K80" s="36"/>
      <ns0:c r="L80" s="36"/>
      <ns0:c r="M80" s="36"/>
      <ns0:c r="N80" s="36"/>
      <ns0:c r="O80" s="36"/>
      <ns0:c r="P80" s="36"/>
      <ns0:c r="Q80" s="36"/>
      <ns0:c r="R80" s="36"/>
    </ns0:row>
    <ns0:row r="81" ht="36" customHeight="1">
      <ns0:c r="A81" s="39" t="str">
        <ns0:v>Separate: abnormal ground, earthworks, retaining, design/consents, services/septic/tanks, premium finishes, unusual access, mezzanines and outdoor structures.</ns0:v>
      </ns0:c>
      <ns0:c r="B81" s="39"/>
      <ns0:c r="C81" s="39"/>
      <ns0:c r="D81" s="39"/>
      <ns0:c r="E81" s="39"/>
      <ns0:c r="F81" s="39"/>
      <ns0:c r="G81" s="39"/>
      <ns0:c r="H81" s="39"/>
      <ns0:c r="I81" s="36"/>
      <ns0:c r="J81" s="36"/>
      <ns0:c r="K81" s="36"/>
      <ns0:c r="L81" s="36"/>
      <ns0:c r="M81" s="36"/>
      <ns0:c r="N81" s="36"/>
      <ns0:c r="O81" s="36"/>
      <ns0:c r="P81" s="36"/>
      <ns0:c r="Q81" s="36"/>
      <ns0:c r="R81" s="36"/>
    </ns0:row>
    <ns0:row r="82" ht="24" customHeight="1">
      <ns0:c r="A82" s="36"/>
      <ns0:c r="B82" s="36"/>
      <ns0:c r="C82" s="36"/>
      <ns0:c r="D82" s="36"/>
      <ns0:c r="E82" s="36"/>
      <ns0:c r="F82" s="36"/>
      <ns0:c r="G82" s="36"/>
      <ns0:c r="H82" s="36"/>
      <ns0:c r="I82" s="36"/>
      <ns0:c r="J82" s="36"/>
      <ns0:c r="K82" s="36"/>
      <ns0:c r="L82" s="36"/>
      <ns0:c r="M82" s="36"/>
      <ns0:c r="N82" s="36"/>
      <ns0:c r="O82" s="36"/>
      <ns0:c r="P82" s="36"/>
      <ns0:c r="Q82" s="36"/>
      <ns0:c r="R82" s="36"/>
    </ns0:row>
    <ns0:row r="83" ht="24" customHeight="1">
      <ns0:c r="A83" s="36"/>
      <ns0:c r="B83" s="36"/>
      <ns0:c r="C83" s="36"/>
      <ns0:c r="D83" s="36"/>
      <ns0:c r="E83" s="36"/>
      <ns0:c r="F83" s="36"/>
      <ns0:c r="G83" s="36"/>
      <ns0:c r="H83" s="36"/>
      <ns0:c r="I83" s="36"/>
      <ns0:c r="J83" s="36"/>
      <ns0:c r="K83" s="36"/>
      <ns0:c r="L83" s="36"/>
      <ns0:c r="M83" s="36"/>
      <ns0:c r="N83" s="36"/>
      <ns0:c r="O83" s="36"/>
      <ns0:c r="P83" s="36"/>
      <ns0:c r="Q83" s="36"/>
      <ns0:c r="R83" s="36"/>
    </ns0:row>
    <ns0:row r="84" ht="24" customHeight="1">
      <ns0:c r="A84" s="36"/>
      <ns0:c r="B84" s="36"/>
      <ns0:c r="C84" s="36"/>
      <ns0:c r="D84" s="36"/>
      <ns0:c r="E84" s="36"/>
      <ns0:c r="F84" s="36"/>
      <ns0:c r="G84" s="36"/>
      <ns0:c r="H84" s="36"/>
      <ns0:c r="I84" s="36"/>
      <ns0:c r="J84" s="36"/>
      <ns0:c r="K84" s="36"/>
      <ns0:c r="L84" s="36"/>
      <ns0:c r="M84" s="36"/>
      <ns0:c r="N84" s="36"/>
      <ns0:c r="O84" s="36"/>
      <ns0:c r="P84" s="36"/>
      <ns0:c r="Q84" s="36"/>
      <ns0:c r="R84" s="36"/>
    </ns0:row>
    <ns0:row r="85" ht="24" customHeight="1">
      <ns0:c r="A85" s="36"/>
      <ns0:c r="B85" s="36"/>
      <ns0:c r="C85" s="36"/>
      <ns0:c r="D85" s="36"/>
      <ns0:c r="E85" s="36"/>
      <ns0:c r="F85" s="36"/>
      <ns0:c r="G85" s="36"/>
      <ns0:c r="H85" s="36"/>
      <ns0:c r="I85" s="36"/>
      <ns0:c r="J85" s="36"/>
      <ns0:c r="K85" s="36"/>
      <ns0:c r="L85" s="36"/>
      <ns0:c r="M85" s="36"/>
      <ns0:c r="N85" s="36"/>
      <ns0:c r="O85" s="36"/>
      <ns0:c r="P85" s="36"/>
      <ns0:c r="Q85" s="36"/>
      <ns0:c r="R85" s="36"/>
    </ns0:row>
    <ns0:row r="86" ht="24" customHeight="1">
      <ns0:c r="A86" s="36"/>
      <ns0:c r="B86" s="36"/>
      <ns0:c r="C86" s="36"/>
      <ns0:c r="D86" s="36"/>
      <ns0:c r="E86" s="36"/>
      <ns0:c r="F86" s="36"/>
      <ns0:c r="G86" s="36"/>
      <ns0:c r="H86" s="36"/>
      <ns0:c r="I86" s="36"/>
      <ns0:c r="J86" s="36"/>
      <ns0:c r="K86" s="36"/>
      <ns0:c r="L86" s="36"/>
      <ns0:c r="M86" s="36"/>
      <ns0:c r="N86" s="36"/>
      <ns0:c r="O86" s="36"/>
      <ns0:c r="P86" s="36"/>
      <ns0:c r="Q86" s="36"/>
      <ns0:c r="R86" s="36"/>
    </ns0:row>
    <ns0:row r="87" ht="24" customHeight="1">
      <ns0:c r="A87" s="36"/>
      <ns0:c r="B87" s="36"/>
      <ns0:c r="C87" s="36"/>
      <ns0:c r="D87" s="36"/>
      <ns0:c r="E87" s="36"/>
      <ns0:c r="F87" s="36"/>
      <ns0:c r="G87" s="36"/>
      <ns0:c r="H87" s="36"/>
      <ns0:c r="I87" s="36"/>
      <ns0:c r="J87" s="36"/>
      <ns0:c r="K87" s="36"/>
      <ns0:c r="L87" s="36"/>
      <ns0:c r="M87" s="36"/>
      <ns0:c r="N87" s="36"/>
      <ns0:c r="O87" s="36"/>
      <ns0:c r="P87" s="36"/>
      <ns0:c r="Q87" s="36"/>
      <ns0:c r="R87" s="36"/>
    </ns0:row>
    <ns0:row r="88" ht="24" customHeight="1">
      <ns0:c r="A88" s="36"/>
      <ns0:c r="B88" s="36"/>
      <ns0:c r="C88" s="36"/>
      <ns0:c r="D88" s="36"/>
      <ns0:c r="E88" s="36"/>
      <ns0:c r="F88" s="36"/>
      <ns0:c r="G88" s="36"/>
      <ns0:c r="H88" s="36"/>
      <ns0:c r="I88" s="36"/>
      <ns0:c r="J88" s="36"/>
      <ns0:c r="K88" s="36"/>
      <ns0:c r="L88" s="36"/>
      <ns0:c r="M88" s="36"/>
      <ns0:c r="N88" s="36"/>
      <ns0:c r="O88" s="36"/>
      <ns0:c r="P88" s="36"/>
      <ns0:c r="Q88" s="36"/>
      <ns0:c r="R88" s="36"/>
    </ns0:row>
    <ns0:row r="89" ht="24" customHeight="1">
      <ns0:c r="A89" s="36"/>
      <ns0:c r="B89" s="36"/>
      <ns0:c r="C89" s="36"/>
      <ns0:c r="D89" s="36"/>
      <ns0:c r="E89" s="36"/>
      <ns0:c r="F89" s="36"/>
      <ns0:c r="G89" s="36"/>
      <ns0:c r="H89" s="36"/>
      <ns0:c r="I89" s="36"/>
      <ns0:c r="J89" s="36"/>
      <ns0:c r="K89" s="36"/>
      <ns0:c r="L89" s="36"/>
      <ns0:c r="M89" s="36"/>
      <ns0:c r="N89" s="36"/>
      <ns0:c r="O89" s="36"/>
      <ns0:c r="P89" s="36"/>
      <ns0:c r="Q89" s="36"/>
      <ns0:c r="R89" s="36"/>
    </ns0:row>
    <ns0:row r="90" ht="24" customHeight="1">
      <ns0:c r="A90" s="36"/>
      <ns0:c r="B90" s="36"/>
      <ns0:c r="C90" s="36"/>
      <ns0:c r="D90" s="36"/>
      <ns0:c r="E90" s="36"/>
      <ns0:c r="F90" s="36"/>
      <ns0:c r="G90" s="36"/>
      <ns0:c r="H90" s="36"/>
      <ns0:c r="I90" s="36"/>
      <ns0:c r="J90" s="36"/>
      <ns0:c r="K90" s="36"/>
      <ns0:c r="L90" s="36"/>
      <ns0:c r="M90" s="36"/>
      <ns0:c r="N90" s="36"/>
      <ns0:c r="O90" s="36"/>
      <ns0:c r="P90" s="36"/>
      <ns0:c r="Q90" s="36"/>
      <ns0:c r="R90" s="36"/>
    </ns0:row>
    <ns0:row r="91" ht="24" customHeight="1">
      <ns0:c r="A91" s="36"/>
      <ns0:c r="B91" s="36"/>
      <ns0:c r="C91" s="36"/>
      <ns0:c r="D91" s="36"/>
      <ns0:c r="E91" s="36"/>
      <ns0:c r="F91" s="36"/>
      <ns0:c r="G91" s="36"/>
      <ns0:c r="H91" s="36"/>
      <ns0:c r="I91" s="36"/>
      <ns0:c r="J91" s="36"/>
      <ns0:c r="K91" s="36"/>
      <ns0:c r="L91" s="36"/>
      <ns0:c r="M91" s="36"/>
      <ns0:c r="N91" s="36"/>
      <ns0:c r="O91" s="36"/>
      <ns0:c r="P91" s="36"/>
      <ns0:c r="Q91" s="36"/>
      <ns0:c r="R91" s="36"/>
    </ns0:row>
    <ns0:row r="92" ht="24" customHeight="1">
      <ns0:c r="A92" s="36"/>
      <ns0:c r="B92" s="36"/>
      <ns0:c r="C92" s="36"/>
      <ns0:c r="D92" s="36"/>
      <ns0:c r="E92" s="36"/>
      <ns0:c r="F92" s="36"/>
      <ns0:c r="G92" s="36"/>
      <ns0:c r="H92" s="36"/>
      <ns0:c r="I92" s="36"/>
      <ns0:c r="J92" s="36"/>
      <ns0:c r="K92" s="36"/>
      <ns0:c r="L92" s="36"/>
      <ns0:c r="M92" s="36"/>
      <ns0:c r="N92" s="36"/>
      <ns0:c r="O92" s="36"/>
      <ns0:c r="P92" s="36"/>
      <ns0:c r="Q92" s="36"/>
      <ns0:c r="R92" s="36"/>
    </ns0:row>
    <ns0:row r="93" ht="24" customHeight="1">
      <ns0:c r="A93" s="36"/>
      <ns0:c r="B93" s="36"/>
      <ns0:c r="C93" s="36"/>
      <ns0:c r="D93" s="36"/>
      <ns0:c r="E93" s="36"/>
      <ns0:c r="F93" s="36"/>
      <ns0:c r="G93" s="36"/>
      <ns0:c r="H93" s="36"/>
      <ns0:c r="I93" s="36"/>
      <ns0:c r="J93" s="36"/>
      <ns0:c r="K93" s="36"/>
      <ns0:c r="L93" s="36"/>
      <ns0:c r="M93" s="36"/>
      <ns0:c r="N93" s="36"/>
      <ns0:c r="O93" s="36"/>
      <ns0:c r="P93" s="36"/>
      <ns0:c r="Q93" s="36"/>
      <ns0:c r="R93" s="36"/>
    </ns0:row>
    <ns0:row r="94" ht="24" customHeight="1">
      <ns0:c r="A94" s="36"/>
      <ns0:c r="B94" s="36"/>
      <ns0:c r="C94" s="36"/>
      <ns0:c r="D94" s="36"/>
      <ns0:c r="E94" s="36"/>
      <ns0:c r="F94" s="36"/>
      <ns0:c r="G94" s="36"/>
      <ns0:c r="H94" s="36"/>
      <ns0:c r="I94" s="36"/>
      <ns0:c r="J94" s="36"/>
      <ns0:c r="K94" s="36"/>
      <ns0:c r="L94" s="36"/>
      <ns0:c r="M94" s="36"/>
      <ns0:c r="N94" s="36"/>
      <ns0:c r="O94" s="36"/>
      <ns0:c r="P94" s="36"/>
      <ns0:c r="Q94" s="36"/>
      <ns0:c r="R94" s="36"/>
    </ns0:row>
    <ns0:row r="95" ht="24" customHeight="1">
      <ns0:c r="A95" s="36"/>
      <ns0:c r="B95" s="36"/>
      <ns0:c r="C95" s="36"/>
      <ns0:c r="D95" s="36"/>
      <ns0:c r="E95" s="36"/>
      <ns0:c r="F95" s="36"/>
      <ns0:c r="G95" s="36"/>
      <ns0:c r="H95" s="36"/>
      <ns0:c r="I95" s="36"/>
      <ns0:c r="J95" s="36"/>
      <ns0:c r="K95" s="36"/>
      <ns0:c r="L95" s="36"/>
      <ns0:c r="M95" s="36"/>
      <ns0:c r="N95" s="36"/>
      <ns0:c r="O95" s="36"/>
      <ns0:c r="P95" s="36"/>
      <ns0:c r="Q95" s="36"/>
      <ns0:c r="R95" s="36"/>
    </ns0:row>
    <ns0:row r="96" ht="24" customHeight="1">
      <ns0:c r="A96" s="36"/>
      <ns0:c r="B96" s="36"/>
      <ns0:c r="C96" s="36"/>
      <ns0:c r="D96" s="36"/>
      <ns0:c r="E96" s="36"/>
      <ns0:c r="F96" s="36"/>
      <ns0:c r="G96" s="36"/>
      <ns0:c r="H96" s="36"/>
      <ns0:c r="I96" s="36"/>
      <ns0:c r="J96" s="36"/>
      <ns0:c r="K96" s="36"/>
      <ns0:c r="L96" s="36"/>
      <ns0:c r="M96" s="36"/>
      <ns0:c r="N96" s="36"/>
      <ns0:c r="O96" s="36"/>
      <ns0:c r="P96" s="36"/>
      <ns0:c r="Q96" s="36"/>
      <ns0:c r="R96" s="36"/>
    </ns0:row>
    <ns0:row r="97" ht="24" customHeight="1">
      <ns0:c r="A97" s="36"/>
      <ns0:c r="B97" s="36"/>
      <ns0:c r="C97" s="36"/>
      <ns0:c r="D97" s="36"/>
      <ns0:c r="E97" s="36"/>
      <ns0:c r="F97" s="36"/>
      <ns0:c r="G97" s="36"/>
      <ns0:c r="H97" s="36"/>
      <ns0:c r="I97" s="36"/>
      <ns0:c r="J97" s="36"/>
      <ns0:c r="K97" s="36"/>
      <ns0:c r="L97" s="36"/>
      <ns0:c r="M97" s="36"/>
      <ns0:c r="N97" s="36"/>
      <ns0:c r="O97" s="36"/>
      <ns0:c r="P97" s="36"/>
      <ns0:c r="Q97" s="36"/>
      <ns0:c r="R97" s="36"/>
    </ns0:row>
    <ns0:row r="98" ht="24" customHeight="1">
      <ns0:c r="A98" s="36"/>
      <ns0:c r="B98" s="36"/>
      <ns0:c r="C98" s="36"/>
      <ns0:c r="D98" s="36"/>
      <ns0:c r="E98" s="36"/>
      <ns0:c r="F98" s="36"/>
      <ns0:c r="G98" s="36"/>
      <ns0:c r="H98" s="36"/>
      <ns0:c r="I98" s="36"/>
      <ns0:c r="J98" s="36"/>
      <ns0:c r="K98" s="36"/>
      <ns0:c r="L98" s="36"/>
      <ns0:c r="M98" s="36"/>
      <ns0:c r="N98" s="36"/>
      <ns0:c r="O98" s="36"/>
      <ns0:c r="P98" s="36"/>
      <ns0:c r="Q98" s="36"/>
      <ns0:c r="R98" s="36"/>
    </ns0:row>
    <ns0:row r="99" ht="24" customHeight="1">
      <ns0:c r="A99" s="36"/>
      <ns0:c r="B99" s="36"/>
      <ns0:c r="C99" s="36"/>
      <ns0:c r="D99" s="36"/>
      <ns0:c r="E99" s="36"/>
      <ns0:c r="F99" s="36"/>
      <ns0:c r="G99" s="36"/>
      <ns0:c r="H99" s="36"/>
      <ns0:c r="I99" s="36"/>
      <ns0:c r="J99" s="36"/>
      <ns0:c r="K99" s="36"/>
      <ns0:c r="L99" s="36"/>
      <ns0:c r="M99" s="36"/>
      <ns0:c r="N99" s="36"/>
      <ns0:c r="O99" s="36"/>
      <ns0:c r="P99" s="36"/>
      <ns0:c r="Q99" s="36"/>
      <ns0:c r="R99" s="36"/>
    </ns0:row>
    <ns0:row r="100" ht="24" customHeight="1">
      <ns0:c r="A100" s="36"/>
      <ns0:c r="B100" s="36"/>
      <ns0:c r="C100" s="36"/>
      <ns0:c r="D100" s="36"/>
      <ns0:c r="E100" s="36"/>
      <ns0:c r="F100" s="36"/>
      <ns0:c r="G100" s="36"/>
      <ns0:c r="H100" s="36"/>
      <ns0:c r="I100" s="36"/>
      <ns0:c r="J100" s="36"/>
      <ns0:c r="K100" s="36"/>
      <ns0:c r="L100" s="36"/>
      <ns0:c r="M100" s="36"/>
      <ns0:c r="N100" s="36"/>
      <ns0:c r="O100" s="36"/>
      <ns0:c r="P100" s="36"/>
      <ns0:c r="Q100" s="36"/>
      <ns0:c r="R100" s="36"/>
    </ns0:row>
  </ns0:sheetData>
  <ns0:sheetProtection sheet="1" objects="1" scenarios="1" selectLockedCells="0" selectUnlockedCells="0"/>
  <ns0:mergeCells>
    <ns0:mergeCell ref="A2:F2"/>
    <ns0:mergeCell ref="A3:F3"/>
    <ns0:mergeCell ref="E5:H5"/>
    <ns0:mergeCell ref="A7:H7"/>
    <ns0:mergeCell ref="A10:H10"/>
    <ns0:mergeCell ref="A11:H11"/>
    <ns0:mergeCell ref="A36:P36"/>
    <ns0:mergeCell ref="B72:H72"/>
    <ns0:mergeCell ref="A74:H74"/>
    <ns0:mergeCell ref="A75:H75"/>
    <ns0:mergeCell ref="A76:H76"/>
    <ns0:mergeCell ref="A77:H77"/>
    <ns0:mergeCell ref="A78:H78"/>
    <ns0:mergeCell ref="A79:H79"/>
    <ns0:mergeCell ref="A80:H80"/>
    <ns0:mergeCell ref="A81:H81"/>
  </ns0:mergeCells>
  <ns0:conditionalFormatting sqref="B62:B62">
    <ns0:cfRule type="cellIs" dxfId="2" priority="1" operator="equal">
      <ns0:formula>"Green"</ns0:formula>
    </ns0:cfRule>
    <ns0:cfRule type="cellIs" dxfId="3" priority="2" operator="equal">
      <ns0:formula>"Black"</ns0:formula>
    </ns0:cfRule>
    <ns0:cfRule type="cellIs" dxfId="4" priority="3" operator="equal">
      <ns0:formula>"Red"</ns0:formula>
    </ns0:cfRule>
    <ns0:cfRule type="cellIs" dxfId="5" priority="4" operator="equal">
      <ns0:formula>"Pricing review"</ns0:formula>
    </ns0:cfRule>
  </ns0:conditionalFormatting>
  <ns0:dataValidations count="42">
    <ns0:dataValidation type="list" sqref="B5">
      <ns0:formula1>"SUPPLY_ONLY"</ns0:formula1>
    </ns0:dataValidation>
    <ns0:dataValidation type="list" sqref="B17:B18">
      <ns0:formula1>"No,Yes"</ns0:formula1>
    </ns0:dataValidation>
    <ns0:dataValidation type="list" sqref="B27">
      <ns0:formula1>"No,Yes"</ns0:formula1>
    </ns0:dataValidation>
    <ns0:dataValidation type="list" sqref="C27">
      <ns0:formula1>"SH,CUSTOMER"</ns0:formula1>
    </ns0:dataValidation>
    <ns0:dataValidation type="list" sqref="D27">
      <ns0:formula1>"RESIDENTIAL,GARAGE_SHED,SHARED,SITE_SPECIFIC"</ns0:formula1>
    </ns0:dataValidation>
    <ns0:dataValidation type="list" sqref="E27:F27">
      <ns0:formula1>"No,Yes"</ns0:formula1>
    </ns0:dataValidation>
    <ns0:dataValidation type="list" sqref="H27">
      <ns0:formula1>"sum,m2,m3,m,hr,each"</ns0:formula1>
    </ns0:dataValidation>
    <ns0:dataValidation type="list" sqref="B28">
      <ns0:formula1>"No,Yes"</ns0:formula1>
    </ns0:dataValidation>
    <ns0:dataValidation type="list" sqref="C28">
      <ns0:formula1>"SH,CUSTOMER"</ns0:formula1>
    </ns0:dataValidation>
    <ns0:dataValidation type="list" sqref="D28">
      <ns0:formula1>"RESIDENTIAL,GARAGE_SHED,SHARED,SITE_SPECIFIC"</ns0:formula1>
    </ns0:dataValidation>
    <ns0:dataValidation type="list" sqref="E28:F28">
      <ns0:formula1>"No,Yes"</ns0:formula1>
    </ns0:dataValidation>
    <ns0:dataValidation type="list" sqref="H28">
      <ns0:formula1>"sum,m2,m3,m,hr,each"</ns0:formula1>
    </ns0:dataValidation>
    <ns0:dataValidation type="list" sqref="B29">
      <ns0:formula1>"No,Yes"</ns0:formula1>
    </ns0:dataValidation>
    <ns0:dataValidation type="list" sqref="C29">
      <ns0:formula1>"SH,CUSTOMER"</ns0:formula1>
    </ns0:dataValidation>
    <ns0:dataValidation type="list" sqref="D29">
      <ns0:formula1>"RESIDENTIAL,GARAGE_SHED,SHARED,SITE_SPECIFIC"</ns0:formula1>
    </ns0:dataValidation>
    <ns0:dataValidation type="list" sqref="E29:F29">
      <ns0:formula1>"No,Yes"</ns0:formula1>
    </ns0:dataValidation>
    <ns0:dataValidation type="list" sqref="H29">
      <ns0:formula1>"sum,m2,m3,m,hr,each"</ns0:formula1>
    </ns0:dataValidation>
    <ns0:dataValidation type="list" sqref="B30">
      <ns0:formula1>"No,Yes"</ns0:formula1>
    </ns0:dataValidation>
    <ns0:dataValidation type="list" sqref="C30">
      <ns0:formula1>"SH,CUSTOMER"</ns0:formula1>
    </ns0:dataValidation>
    <ns0:dataValidation type="list" sqref="D30">
      <ns0:formula1>"RESIDENTIAL,GARAGE_SHED,SHARED,SITE_SPECIFIC"</ns0:formula1>
    </ns0:dataValidation>
    <ns0:dataValidation type="list" sqref="E30:F30">
      <ns0:formula1>"No,Yes"</ns0:formula1>
    </ns0:dataValidation>
    <ns0:dataValidation type="list" sqref="H30">
      <ns0:formula1>"sum,m2,m3,m,hr,each"</ns0:formula1>
    </ns0:dataValidation>
    <ns0:dataValidation type="list" sqref="B31">
      <ns0:formula1>"No,Yes"</ns0:formula1>
    </ns0:dataValidation>
    <ns0:dataValidation type="list" sqref="C31">
      <ns0:formula1>"SH,CUSTOMER"</ns0:formula1>
    </ns0:dataValidation>
    <ns0:dataValidation type="list" sqref="D31">
      <ns0:formula1>"RESIDENTIAL,GARAGE_SHED,SHARED,SITE_SPECIFIC"</ns0:formula1>
    </ns0:dataValidation>
    <ns0:dataValidation type="list" sqref="E31:F31">
      <ns0:formula1>"No,Yes"</ns0:formula1>
    </ns0:dataValidation>
    <ns0:dataValidation type="list" sqref="H31">
      <ns0:formula1>"sum,m2,m3,m,hr,each"</ns0:formula1>
    </ns0:dataValidation>
    <ns0:dataValidation type="list" sqref="B32">
      <ns0:formula1>"No,Yes"</ns0:formula1>
    </ns0:dataValidation>
    <ns0:dataValidation type="list" sqref="C32">
      <ns0:formula1>"SH,CUSTOMER"</ns0:formula1>
    </ns0:dataValidation>
    <ns0:dataValidation type="list" sqref="D32">
      <ns0:formula1>"RESIDENTIAL,GARAGE_SHED,SHARED,SITE_SPECIFIC"</ns0:formula1>
    </ns0:dataValidation>
    <ns0:dataValidation type="list" sqref="E32:F32">
      <ns0:formula1>"No,Yes"</ns0:formula1>
    </ns0:dataValidation>
    <ns0:dataValidation type="list" sqref="H32">
      <ns0:formula1>"sum,m2,m3,m,hr,each"</ns0:formula1>
    </ns0:dataValidation>
    <ns0:dataValidation type="list" sqref="B33">
      <ns0:formula1>"No,Yes"</ns0:formula1>
    </ns0:dataValidation>
    <ns0:dataValidation type="list" sqref="C33">
      <ns0:formula1>"SH,CUSTOMER"</ns0:formula1>
    </ns0:dataValidation>
    <ns0:dataValidation type="list" sqref="D33">
      <ns0:formula1>"RESIDENTIAL,GARAGE_SHED,SHARED,SITE_SPECIFIC"</ns0:formula1>
    </ns0:dataValidation>
    <ns0:dataValidation type="list" sqref="E33:F33">
      <ns0:formula1>"No,Yes"</ns0:formula1>
    </ns0:dataValidation>
    <ns0:dataValidation type="list" sqref="H33">
      <ns0:formula1>"sum,m2,m3,m,hr,each"</ns0:formula1>
    </ns0:dataValidation>
    <ns0:dataValidation type="list" sqref="B34">
      <ns0:formula1>"No,Yes"</ns0:formula1>
    </ns0:dataValidation>
    <ns0:dataValidation type="list" sqref="C34">
      <ns0:formula1>"SH,CUSTOMER"</ns0:formula1>
    </ns0:dataValidation>
    <ns0:dataValidation type="list" sqref="D34">
      <ns0:formula1>"RESIDENTIAL,GARAGE_SHED,SHARED,SITE_SPECIFIC"</ns0:formula1>
    </ns0:dataValidation>
    <ns0:dataValidation type="list" sqref="E34:F34">
      <ns0:formula1>"No,Yes"</ns0:formula1>
    </ns0:dataValidation>
    <ns0:dataValidation type="list" sqref="H34">
      <ns0:formula1>"sum,m2,m3,m,hr,each"</ns0:formula1>
    </ns0:dataValidation>
  </ns0:dataValidations>
  <ns0:pageMargins left="0.7" right="0.7" top="0.75" bottom="0.75" header="0.3" footer="0.3"/>
  <ns0:drawing ns1:id="R6f0625450a984ae6"/>
</ns0:worksheet>
</file>